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Tổng hợp bug</t>
        </is>
      </c>
    </row>
    <row r="2">
      <c r="A2" s="2" t="inlineStr">
        <is>
          <t>Project: Starlyn – soulmate-sketch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[UI/UX]</t>
        </is>
      </c>
      <c r="C6" s="3" t="inlineStr">
        <is>
          <t>[UI]</t>
        </is>
      </c>
      <c r="D6" s="3" t="inlineStr">
        <is>
          <t>Tổng</t>
        </is>
      </c>
    </row>
    <row r="7">
      <c r="A7" s="4" t="inlineStr">
        <is>
          <t>Intro 1</t>
        </is>
      </c>
      <c r="B7" s="5">
        <f>COUNTIFS('Bug List'!$B$2:$B$32,$A7,'Bug List'!$C$2:$C$32,B$6)</f>
        <v/>
      </c>
      <c r="C7" s="5">
        <f>COUNTIFS('Bug List'!$B$2:$B$32,$A7,'Bug List'!$C$2:$C$32,C$6)</f>
        <v/>
      </c>
      <c r="D7" s="5">
        <f>SUM(B7:C7)</f>
        <v/>
      </c>
    </row>
    <row r="8">
      <c r="A8" s="4" t="inlineStr">
        <is>
          <t>Intro 2</t>
        </is>
      </c>
      <c r="B8" s="5">
        <f>COUNTIFS('Bug List'!$B$2:$B$32,$A8,'Bug List'!$C$2:$C$32,B$6)</f>
        <v/>
      </c>
      <c r="C8" s="5">
        <f>COUNTIFS('Bug List'!$B$2:$B$32,$A8,'Bug List'!$C$2:$C$32,C$6)</f>
        <v/>
      </c>
      <c r="D8" s="5">
        <f>SUM(B8:C8)</f>
        <v/>
      </c>
    </row>
    <row r="9">
      <c r="A9" s="4" t="inlineStr">
        <is>
          <t>Intro 3</t>
        </is>
      </c>
      <c r="B9" s="5">
        <f>COUNTIFS('Bug List'!$B$2:$B$32,$A9,'Bug List'!$C$2:$C$32,B$6)</f>
        <v/>
      </c>
      <c r="C9" s="5">
        <f>COUNTIFS('Bug List'!$B$2:$B$32,$A9,'Bug List'!$C$2:$C$32,C$6)</f>
        <v/>
      </c>
      <c r="D9" s="5">
        <f>SUM(B9:C9)</f>
        <v/>
      </c>
    </row>
    <row r="10">
      <c r="A10" s="4" t="inlineStr">
        <is>
          <t>Intro 4</t>
        </is>
      </c>
      <c r="B10" s="5">
        <f>COUNTIFS('Bug List'!$B$2:$B$32,$A10,'Bug List'!$C$2:$C$32,B$6)</f>
        <v/>
      </c>
      <c r="C10" s="5">
        <f>COUNTIFS('Bug List'!$B$2:$B$32,$A10,'Bug List'!$C$2:$C$32,C$6)</f>
        <v/>
      </c>
      <c r="D10" s="5">
        <f>SUM(B10:C10)</f>
        <v/>
      </c>
    </row>
    <row r="11">
      <c r="A11" s="4" t="inlineStr">
        <is>
          <t>Intro 5</t>
        </is>
      </c>
      <c r="B11" s="5">
        <f>COUNTIFS('Bug List'!$B$2:$B$32,$A11,'Bug List'!$C$2:$C$32,B$6)</f>
        <v/>
      </c>
      <c r="C11" s="5">
        <f>COUNTIFS('Bug List'!$B$2:$B$32,$A11,'Bug List'!$C$2:$C$32,C$6)</f>
        <v/>
      </c>
      <c r="D11" s="5">
        <f>SUM(B11:C11)</f>
        <v/>
      </c>
    </row>
    <row r="12">
      <c r="A12" s="4" t="inlineStr">
        <is>
          <t>Intro 6</t>
        </is>
      </c>
      <c r="B12" s="5">
        <f>COUNTIFS('Bug List'!$B$2:$B$32,$A12,'Bug List'!$C$2:$C$32,B$6)</f>
        <v/>
      </c>
      <c r="C12" s="5">
        <f>COUNTIFS('Bug List'!$B$2:$B$32,$A12,'Bug List'!$C$2:$C$32,C$6)</f>
        <v/>
      </c>
      <c r="D12" s="5">
        <f>SUM(B12:C12)</f>
        <v/>
      </c>
    </row>
    <row r="13">
      <c r="A13" s="4" t="inlineStr">
        <is>
          <t>Intro 7</t>
        </is>
      </c>
      <c r="B13" s="5">
        <f>COUNTIFS('Bug List'!$B$2:$B$32,$A13,'Bug List'!$C$2:$C$32,B$6)</f>
        <v/>
      </c>
      <c r="C13" s="5">
        <f>COUNTIFS('Bug List'!$B$2:$B$32,$A13,'Bug List'!$C$2:$C$32,C$6)</f>
        <v/>
      </c>
      <c r="D13" s="5">
        <f>SUM(B13:C13)</f>
        <v/>
      </c>
    </row>
    <row r="14">
      <c r="A14" s="4" t="inlineStr">
        <is>
          <t>Intro 8</t>
        </is>
      </c>
      <c r="B14" s="5">
        <f>COUNTIFS('Bug List'!$B$2:$B$32,$A14,'Bug List'!$C$2:$C$32,B$6)</f>
        <v/>
      </c>
      <c r="C14" s="5">
        <f>COUNTIFS('Bug List'!$B$2:$B$32,$A14,'Bug List'!$C$2:$C$32,C$6)</f>
        <v/>
      </c>
      <c r="D14" s="5">
        <f>SUM(B14:C14)</f>
        <v/>
      </c>
    </row>
    <row r="15">
      <c r="A15" s="4" t="inlineStr">
        <is>
          <t>Intro 9</t>
        </is>
      </c>
      <c r="B15" s="5">
        <f>COUNTIFS('Bug List'!$B$2:$B$32,$A15,'Bug List'!$C$2:$C$32,B$6)</f>
        <v/>
      </c>
      <c r="C15" s="5">
        <f>COUNTIFS('Bug List'!$B$2:$B$32,$A15,'Bug List'!$C$2:$C$32,C$6)</f>
        <v/>
      </c>
      <c r="D15" s="5">
        <f>SUM(B15:C15)</f>
        <v/>
      </c>
    </row>
    <row r="16">
      <c r="A16" s="4" t="inlineStr">
        <is>
          <t>Intro 10</t>
        </is>
      </c>
      <c r="B16" s="5">
        <f>COUNTIFS('Bug List'!$B$2:$B$32,$A16,'Bug List'!$C$2:$C$32,B$6)</f>
        <v/>
      </c>
      <c r="C16" s="5">
        <f>COUNTIFS('Bug List'!$B$2:$B$32,$A16,'Bug List'!$C$2:$C$32,C$6)</f>
        <v/>
      </c>
      <c r="D16" s="5">
        <f>SUM(B16:C16)</f>
        <v/>
      </c>
    </row>
    <row r="17">
      <c r="A17" s="4" t="inlineStr">
        <is>
          <t>Intro 11</t>
        </is>
      </c>
      <c r="B17" s="5">
        <f>COUNTIFS('Bug List'!$B$2:$B$32,$A17,'Bug List'!$C$2:$C$32,B$6)</f>
        <v/>
      </c>
      <c r="C17" s="5">
        <f>COUNTIFS('Bug List'!$B$2:$B$32,$A17,'Bug List'!$C$2:$C$32,C$6)</f>
        <v/>
      </c>
      <c r="D17" s="5">
        <f>SUM(B17:C17)</f>
        <v/>
      </c>
    </row>
    <row r="18">
      <c r="A18" s="4" t="inlineStr">
        <is>
          <t>Intro 12</t>
        </is>
      </c>
      <c r="B18" s="5">
        <f>COUNTIFS('Bug List'!$B$2:$B$32,$A18,'Bug List'!$C$2:$C$32,B$6)</f>
        <v/>
      </c>
      <c r="C18" s="5">
        <f>COUNTIFS('Bug List'!$B$2:$B$32,$A18,'Bug List'!$C$2:$C$32,C$6)</f>
        <v/>
      </c>
      <c r="D18" s="5">
        <f>SUM(B18:C18)</f>
        <v/>
      </c>
    </row>
    <row r="19">
      <c r="A19" s="4" t="inlineStr">
        <is>
          <t>Intro 13</t>
        </is>
      </c>
      <c r="B19" s="5">
        <f>COUNTIFS('Bug List'!$B$2:$B$32,$A19,'Bug List'!$C$2:$C$32,B$6)</f>
        <v/>
      </c>
      <c r="C19" s="5">
        <f>COUNTIFS('Bug List'!$B$2:$B$32,$A19,'Bug List'!$C$2:$C$32,C$6)</f>
        <v/>
      </c>
      <c r="D19" s="5">
        <f>SUM(B19:C19)</f>
        <v/>
      </c>
    </row>
    <row r="20">
      <c r="A20" s="4" t="inlineStr">
        <is>
          <t>Intro 14</t>
        </is>
      </c>
      <c r="B20" s="5">
        <f>COUNTIFS('Bug List'!$B$2:$B$32,$A20,'Bug List'!$C$2:$C$32,B$6)</f>
        <v/>
      </c>
      <c r="C20" s="5">
        <f>COUNTIFS('Bug List'!$B$2:$B$32,$A20,'Bug List'!$C$2:$C$32,C$6)</f>
        <v/>
      </c>
      <c r="D20" s="5">
        <f>SUM(B20:C20)</f>
        <v/>
      </c>
    </row>
    <row r="21">
      <c r="A21" s="4" t="inlineStr">
        <is>
          <t>Intro 15</t>
        </is>
      </c>
      <c r="B21" s="5">
        <f>COUNTIFS('Bug List'!$B$2:$B$32,$A21,'Bug List'!$C$2:$C$32,B$6)</f>
        <v/>
      </c>
      <c r="C21" s="5">
        <f>COUNTIFS('Bug List'!$B$2:$B$32,$A21,'Bug List'!$C$2:$C$32,C$6)</f>
        <v/>
      </c>
      <c r="D21" s="5">
        <f>SUM(B21:C21)</f>
        <v/>
      </c>
    </row>
    <row r="22">
      <c r="A22" s="4" t="inlineStr">
        <is>
          <t>Intro 16</t>
        </is>
      </c>
      <c r="B22" s="5">
        <f>COUNTIFS('Bug List'!$B$2:$B$32,$A22,'Bug List'!$C$2:$C$32,B$6)</f>
        <v/>
      </c>
      <c r="C22" s="5">
        <f>COUNTIFS('Bug List'!$B$2:$B$32,$A22,'Bug List'!$C$2:$C$32,C$6)</f>
        <v/>
      </c>
      <c r="D22" s="5">
        <f>SUM(B22:C22)</f>
        <v/>
      </c>
    </row>
    <row r="23">
      <c r="A23" s="4" t="inlineStr">
        <is>
          <t>Intro 17</t>
        </is>
      </c>
      <c r="B23" s="5">
        <f>COUNTIFS('Bug List'!$B$2:$B$32,$A23,'Bug List'!$C$2:$C$32,B$6)</f>
        <v/>
      </c>
      <c r="C23" s="5">
        <f>COUNTIFS('Bug List'!$B$2:$B$32,$A23,'Bug List'!$C$2:$C$32,C$6)</f>
        <v/>
      </c>
      <c r="D23" s="5">
        <f>SUM(B23:C23)</f>
        <v/>
      </c>
    </row>
    <row r="24">
      <c r="A24" s="4" t="inlineStr">
        <is>
          <t>Intro 18</t>
        </is>
      </c>
      <c r="B24" s="5">
        <f>COUNTIFS('Bug List'!$B$2:$B$32,$A24,'Bug List'!$C$2:$C$32,B$6)</f>
        <v/>
      </c>
      <c r="C24" s="5">
        <f>COUNTIFS('Bug List'!$B$2:$B$32,$A24,'Bug List'!$C$2:$C$32,C$6)</f>
        <v/>
      </c>
      <c r="D24" s="5">
        <f>SUM(B24:C24)</f>
        <v/>
      </c>
    </row>
    <row r="25">
      <c r="A25" s="4" t="inlineStr">
        <is>
          <t>Intro 19</t>
        </is>
      </c>
      <c r="B25" s="5">
        <f>COUNTIFS('Bug List'!$B$2:$B$32,$A25,'Bug List'!$C$2:$C$32,B$6)</f>
        <v/>
      </c>
      <c r="C25" s="5">
        <f>COUNTIFS('Bug List'!$B$2:$B$32,$A25,'Bug List'!$C$2:$C$32,C$6)</f>
        <v/>
      </c>
      <c r="D25" s="5">
        <f>SUM(B25:C25)</f>
        <v/>
      </c>
    </row>
    <row r="26">
      <c r="A26" s="4" t="inlineStr">
        <is>
          <t>Intro 20</t>
        </is>
      </c>
      <c r="B26" s="5">
        <f>COUNTIFS('Bug List'!$B$2:$B$32,$A26,'Bug List'!$C$2:$C$32,B$6)</f>
        <v/>
      </c>
      <c r="C26" s="5">
        <f>COUNTIFS('Bug List'!$B$2:$B$32,$A26,'Bug List'!$C$2:$C$32,C$6)</f>
        <v/>
      </c>
      <c r="D26" s="5">
        <f>SUM(B26:C26)</f>
        <v/>
      </c>
    </row>
    <row r="27">
      <c r="A27" s="4" t="inlineStr">
        <is>
          <t>Intro 21</t>
        </is>
      </c>
      <c r="B27" s="5">
        <f>COUNTIFS('Bug List'!$B$2:$B$32,$A27,'Bug List'!$C$2:$C$32,B$6)</f>
        <v/>
      </c>
      <c r="C27" s="5">
        <f>COUNTIFS('Bug List'!$B$2:$B$32,$A27,'Bug List'!$C$2:$C$32,C$6)</f>
        <v/>
      </c>
      <c r="D27" s="5">
        <f>SUM(B27:C27)</f>
        <v/>
      </c>
    </row>
    <row r="28">
      <c r="A28" s="4" t="inlineStr">
        <is>
          <t>Paywall 1</t>
        </is>
      </c>
      <c r="B28" s="5">
        <f>COUNTIFS('Bug List'!$B$2:$B$32,$A28,'Bug List'!$C$2:$C$32,B$6)</f>
        <v/>
      </c>
      <c r="C28" s="5">
        <f>COUNTIFS('Bug List'!$B$2:$B$32,$A28,'Bug List'!$C$2:$C$32,C$6)</f>
        <v/>
      </c>
      <c r="D28" s="5">
        <f>SUM(B28:C28)</f>
        <v/>
      </c>
    </row>
    <row r="29">
      <c r="A29" s="4" t="inlineStr">
        <is>
          <t>Upsale 1</t>
        </is>
      </c>
      <c r="B29" s="5">
        <f>COUNTIFS('Bug List'!$B$2:$B$32,$A29,'Bug List'!$C$2:$C$32,B$6)</f>
        <v/>
      </c>
      <c r="C29" s="5">
        <f>COUNTIFS('Bug List'!$B$2:$B$32,$A29,'Bug List'!$C$2:$C$32,C$6)</f>
        <v/>
      </c>
      <c r="D29" s="5">
        <f>SUM(B29:C29)</f>
        <v/>
      </c>
    </row>
    <row r="30">
      <c r="A30" s="4" t="inlineStr">
        <is>
          <t>Download App</t>
        </is>
      </c>
      <c r="B30" s="5">
        <f>COUNTIFS('Bug List'!$B$2:$B$32,$A30,'Bug List'!$C$2:$C$32,B$6)</f>
        <v/>
      </c>
      <c r="C30" s="5">
        <f>COUNTIFS('Bug List'!$B$2:$B$32,$A30,'Bug List'!$C$2:$C$32,C$6)</f>
        <v/>
      </c>
      <c r="D30" s="5">
        <f>SUM(B30:C30)</f>
        <v/>
      </c>
    </row>
    <row r="31">
      <c r="A31" s="6" t="inlineStr">
        <is>
          <t>Tổng</t>
        </is>
      </c>
      <c r="B31" s="7">
        <f>SUM(B7:B30)</f>
        <v/>
      </c>
      <c r="C31" s="7">
        <f>SUM(C7:C30)</f>
        <v/>
      </c>
      <c r="D31" s="7">
        <f>SUM(D7:D30)</f>
        <v/>
      </c>
    </row>
    <row r="33">
      <c r="A33" s="3" t="inlineStr">
        <is>
          <t>Severity</t>
        </is>
      </c>
      <c r="B33" s="3" t="inlineStr">
        <is>
          <t>Số bug</t>
        </is>
      </c>
    </row>
    <row r="34">
      <c r="A34" s="8" t="inlineStr">
        <is>
          <t>Critical</t>
        </is>
      </c>
      <c r="B34" s="9">
        <f>COUNTIF('Bug List'!$D$2:$D$32,A34)</f>
        <v/>
      </c>
    </row>
    <row r="35">
      <c r="A35" s="10" t="inlineStr">
        <is>
          <t>High</t>
        </is>
      </c>
      <c r="B35" s="9">
        <f>COUNTIF('Bug List'!$D$2:$D$32,A35)</f>
        <v/>
      </c>
    </row>
    <row r="36">
      <c r="A36" s="11" t="inlineStr">
        <is>
          <t>Medium</t>
        </is>
      </c>
      <c r="B36" s="9">
        <f>COUNTIF('Bug List'!$D$2:$D$32,A36)</f>
        <v/>
      </c>
    </row>
    <row r="37">
      <c r="A37" s="12" t="inlineStr">
        <is>
          <t>Low</t>
        </is>
      </c>
      <c r="B37" s="9">
        <f>COUNTIF('Bug List'!$D$2:$D$32,A37)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5" t="n">
        <v>1</v>
      </c>
      <c r="B2" s="5" t="inlineStr">
        <is>
          <t>Intro 1</t>
        </is>
      </c>
      <c r="C2" s="5" t="inlineStr">
        <is>
          <t>[UI/UX]</t>
        </is>
      </c>
      <c r="D2" s="13" t="inlineStr">
        <is>
          <t>High</t>
        </is>
      </c>
      <c r="E2" s="14" t="inlineStr">
        <is>
          <t>[UI/UX][Intro 1] Link "Terms" và "Privacy Policy" có tap target nhỏ</t>
        </is>
      </c>
      <c r="F2" s="14" t="inlineStr">
        <is>
          <t>- Ở Intro 1 (id: 1) và Intro 21 (id: 21, màn email), link "Terms" chỉ có vùng bấm 35×27 và "Privacy Policy" 79×27 (đo tự động), nằm sát nhau trong dòng legal.</t>
        </is>
      </c>
      <c r="G2" s="14" t="inlineStr">
        <is>
          <t>- Tap target tối thiểu 44pt theo Apple HIG – cần Designer confirm.</t>
        </is>
      </c>
      <c r="H2" s="14" t="inlineStr">
        <is>
          <t>Screenshot/Video: screens/01-1-small.png, screens/01-1-large.png, screens/21-21-small.png</t>
        </is>
      </c>
    </row>
    <row r="3">
      <c r="A3" s="5" t="n">
        <v>2</v>
      </c>
      <c r="B3" s="5" t="inlineStr">
        <is>
          <t>Intro 1</t>
        </is>
      </c>
      <c r="C3" s="5" t="inlineStr">
        <is>
          <t>[UI]</t>
        </is>
      </c>
      <c r="D3" s="15" t="inlineStr">
        <is>
          <t>Low</t>
        </is>
      </c>
      <c r="E3" s="14" t="inlineStr">
        <is>
          <t>[UI][Intro 1] Nét outline gold lệch khỏi khuôn mặt trong ảnh sketch hero</t>
        </is>
      </c>
      <c r="F3" s="14" t="inlineStr">
        <is>
          <t>- Trên card hero, nét outline gold (mặt + vai) bị lệch sang phải so với khuôn mặt trong ảnh sketch, không trùng với đường nét khuôn mặt.</t>
        </is>
      </c>
      <c r="G3" s="14" t="inlineStr">
        <is>
          <t>- Cần đối chiếu Figma: nét gold cần khớp với portrait (brief: "a half-drawn pencil portrait ... the finished strokes glowing gold").</t>
        </is>
      </c>
      <c r="H3" s="14" t="inlineStr">
        <is>
          <t>Screenshot/Video: screens/01-1-small.png, screens/01-1-large.png</t>
        </is>
      </c>
    </row>
    <row r="4">
      <c r="A4" s="5" t="n">
        <v>3</v>
      </c>
      <c r="B4" s="5" t="inlineStr">
        <is>
          <t>Intro 2</t>
        </is>
      </c>
      <c r="C4" s="5" t="inlineStr">
        <is>
          <t>[UI]</t>
        </is>
      </c>
      <c r="D4" s="15" t="inlineStr">
        <is>
          <t>Low</t>
        </is>
      </c>
      <c r="E4" s="14" t="inlineStr">
        <is>
          <t>[UI][Intro 2] Hiệu ứng sao băng vẽ đè lên card và text</t>
        </is>
      </c>
      <c r="F4" s="14" t="inlineStr">
        <is>
          <t>- Vệt sao băng trang trí chạy đè lên nội dung: ở large cắt ngang dòng "Your sketch is an AI illustration.", ở small chạm vào card step 2; lặp lại ở Intro 11.</t>
        </is>
      </c>
      <c r="G4" s="14" t="inlineStr">
        <is>
          <t>- Cần đối chiếu Figma: hiệu ứng nền cần nằm dưới layer nội dung, không đè lên text/card.</t>
        </is>
      </c>
      <c r="H4" s="14" t="inlineStr">
        <is>
          <t>Screenshot/Video: screens/02-2-small.png, screens/02-2-large.png, screens/11-11-small-p1.png</t>
        </is>
      </c>
    </row>
    <row r="5">
      <c r="A5" s="16" t="inlineStr"/>
      <c r="B5" s="16" t="inlineStr">
        <is>
          <t>Intro 3</t>
        </is>
      </c>
      <c r="C5" s="16" t="inlineStr"/>
      <c r="D5" s="16" t="inlineStr"/>
      <c r="E5" s="17" t="inlineStr">
        <is>
          <t>Không phát hiện lỗi</t>
        </is>
      </c>
      <c r="F5" s="17" t="inlineStr"/>
      <c r="G5" s="17" t="inlineStr"/>
      <c r="H5" s="17" t="inlineStr"/>
    </row>
    <row r="6">
      <c r="A6" s="16" t="inlineStr"/>
      <c r="B6" s="16" t="inlineStr">
        <is>
          <t>Intro 4</t>
        </is>
      </c>
      <c r="C6" s="16" t="inlineStr"/>
      <c r="D6" s="16" t="inlineStr"/>
      <c r="E6" s="17" t="inlineStr">
        <is>
          <t>Không phát hiện lỗi</t>
        </is>
      </c>
      <c r="F6" s="17" t="inlineStr"/>
      <c r="G6" s="17" t="inlineStr"/>
      <c r="H6" s="17" t="inlineStr"/>
    </row>
    <row r="7">
      <c r="A7" s="16" t="inlineStr"/>
      <c r="B7" s="16" t="inlineStr">
        <is>
          <t>Intro 5</t>
        </is>
      </c>
      <c r="C7" s="16" t="inlineStr"/>
      <c r="D7" s="16" t="inlineStr"/>
      <c r="E7" s="17" t="inlineStr">
        <is>
          <t>Không phát hiện lỗi</t>
        </is>
      </c>
      <c r="F7" s="17" t="inlineStr"/>
      <c r="G7" s="17" t="inlineStr"/>
      <c r="H7" s="17" t="inlineStr"/>
    </row>
    <row r="8">
      <c r="A8" s="5" t="n">
        <v>4</v>
      </c>
      <c r="B8" s="5" t="inlineStr">
        <is>
          <t>Intro 6</t>
        </is>
      </c>
      <c r="C8" s="5" t="inlineStr">
        <is>
          <t>[UI/UX]</t>
        </is>
      </c>
      <c r="D8" s="18" t="inlineStr">
        <is>
          <t>Medium</t>
        </is>
      </c>
      <c r="E8" s="14" t="inlineStr">
        <is>
          <t>[UI/UX][Intro 6] Button Continue hiển thị enabled khi Month/Day/Year đang trống</t>
        </is>
      </c>
      <c r="F8" s="14" t="inlineStr">
        <is>
          <t>- Ở màn ngày sinh (id: 6), cả 3 ô Month/Day/Year đang hiển thị placeholder nhưng button Continue vẫn ở trạng thái enabled (gold), trong khi Intro 8 và Intro 9 để Continue ở trạng thái disabled khi input trống.</t>
        </is>
      </c>
      <c r="G8" s="14" t="inlineStr">
        <is>
          <t>- Trạng thái Continue khi chưa nhập cần đồng nhất giữa các màn input – Spec chưa định nghĩa – cần PM/Designer confirm.</t>
        </is>
      </c>
      <c r="H8" s="14" t="inlineStr">
        <is>
          <t>Screenshot/Video: screens/06-6-small.png, screens/06-6-large.png, screens/08-8-large.png</t>
        </is>
      </c>
    </row>
    <row r="9">
      <c r="A9" s="5" t="n">
        <v>5</v>
      </c>
      <c r="B9" s="5" t="inlineStr">
        <is>
          <t>Intro 6</t>
        </is>
      </c>
      <c r="C9" s="5" t="inlineStr">
        <is>
          <t>[UI/UX]</t>
        </is>
      </c>
      <c r="D9" s="15" t="inlineStr">
        <is>
          <t>Low</t>
        </is>
      </c>
      <c r="E9" s="14" t="inlineStr">
        <is>
          <t>[UI/UX][Intro 6] Ô Month/Day/Year không có icon dropdown</t>
        </is>
      </c>
      <c r="F9" s="14" t="inlineStr">
        <is>
          <t>- 3 ô chọn ngày sinh hiển thị giống text field, không có icon mũi tên/chevron báo đây là ô chọn.</t>
        </is>
      </c>
      <c r="G9" s="14" t="inlineStr">
        <is>
          <t>- Spec chưa định nghĩa – cần PM/Designer confirm.</t>
        </is>
      </c>
      <c r="H9" s="14" t="inlineStr">
        <is>
          <t>Screenshot/Video: screens/06-6-small.png, screens/06-6-large.png</t>
        </is>
      </c>
    </row>
    <row r="10">
      <c r="A10" s="16" t="inlineStr"/>
      <c r="B10" s="16" t="inlineStr">
        <is>
          <t>Intro 7</t>
        </is>
      </c>
      <c r="C10" s="16" t="inlineStr"/>
      <c r="D10" s="16" t="inlineStr"/>
      <c r="E10" s="17" t="inlineStr">
        <is>
          <t>Không phát hiện lỗi</t>
        </is>
      </c>
      <c r="F10" s="17" t="inlineStr"/>
      <c r="G10" s="17" t="inlineStr"/>
      <c r="H10" s="17" t="inlineStr"/>
    </row>
    <row r="11">
      <c r="A11" s="5" t="n">
        <v>6</v>
      </c>
      <c r="B11" s="5" t="inlineStr">
        <is>
          <t>Intro 8</t>
        </is>
      </c>
      <c r="C11" s="5" t="inlineStr">
        <is>
          <t>[UI]</t>
        </is>
      </c>
      <c r="D11" s="18" t="inlineStr">
        <is>
          <t>Medium</t>
        </is>
      </c>
      <c r="E11" s="14" t="inlineStr">
        <is>
          <t>[UI][Intro 8] Ô Time of birth hiển thị 2 icon đồng hồ</t>
        </is>
      </c>
      <c r="F11" s="14" t="inlineStr">
        <is>
          <t>- Ô "Time of birth" (id: 8) có icon đồng hồ ở bên trái và thêm một icon đồng hồ khác ở bên phải, cả 2 cùng hiển thị.</t>
        </is>
      </c>
      <c r="G11" s="14" t="inlineStr">
        <is>
          <t>- Cần đối chiếu Figma: ô input chỉ nên có 1 icon đồng hồ.</t>
        </is>
      </c>
      <c r="H11" s="14" t="inlineStr">
        <is>
          <t>Screenshot/Video: screens/08-8-small.png, screens/08-8-large.png</t>
        </is>
      </c>
    </row>
    <row r="12">
      <c r="A12" s="16" t="inlineStr"/>
      <c r="B12" s="16" t="inlineStr">
        <is>
          <t>Intro 9</t>
        </is>
      </c>
      <c r="C12" s="16" t="inlineStr"/>
      <c r="D12" s="16" t="inlineStr"/>
      <c r="E12" s="17" t="inlineStr">
        <is>
          <t>Không phát hiện lỗi</t>
        </is>
      </c>
      <c r="F12" s="17" t="inlineStr"/>
      <c r="G12" s="17" t="inlineStr"/>
      <c r="H12" s="17" t="inlineStr"/>
    </row>
    <row r="13">
      <c r="A13" s="16" t="inlineStr"/>
      <c r="B13" s="16" t="inlineStr">
        <is>
          <t>Intro 10</t>
        </is>
      </c>
      <c r="C13" s="16" t="inlineStr"/>
      <c r="D13" s="16" t="inlineStr"/>
      <c r="E13" s="17" t="inlineStr">
        <is>
          <t>Không phát hiện lỗi</t>
        </is>
      </c>
      <c r="F13" s="17" t="inlineStr"/>
      <c r="G13" s="17" t="inlineStr"/>
      <c r="H13" s="17" t="inlineStr"/>
    </row>
    <row r="14">
      <c r="A14" s="5" t="n">
        <v>7</v>
      </c>
      <c r="B14" s="5" t="inlineStr">
        <is>
          <t>Intro 11</t>
        </is>
      </c>
      <c r="C14" s="5" t="inlineStr">
        <is>
          <t>[UI]</t>
        </is>
      </c>
      <c r="D14" s="15" t="inlineStr">
        <is>
          <t>Low</t>
        </is>
      </c>
      <c r="E14" s="14" t="inlineStr">
        <is>
          <t>[UI][Intro 11] Chip selected có một vệt viền sáng mảnh ở mép phải</t>
        </is>
      </c>
      <c r="F14" s="14" t="inlineStr">
        <is>
          <t>- Chip "Chart decides" đang selected (nền gold gradient) hiện một đường sáng mảnh dọc mép phải, không có ở mép trái.</t>
        </is>
      </c>
      <c r="G14" s="14" t="inlineStr">
        <is>
          <t>- Cần đối chiếu Figma: viền chip selected cần đồng đều cả 4 cạnh.</t>
        </is>
      </c>
      <c r="H14" s="14" t="inlineStr">
        <is>
          <t>Screenshot/Video: screens/11-11-small-p1.png, screens/11-11-large.png</t>
        </is>
      </c>
    </row>
    <row r="15">
      <c r="A15" s="5" t="n">
        <v>8</v>
      </c>
      <c r="B15" s="5" t="inlineStr">
        <is>
          <t>Intro 11</t>
        </is>
      </c>
      <c r="C15" s="5" t="inlineStr">
        <is>
          <t>[UI]</t>
        </is>
      </c>
      <c r="D15" s="15" t="inlineStr">
        <is>
          <t>Low</t>
        </is>
      </c>
      <c r="E15" s="14" t="inlineStr">
        <is>
          <t>[UI][Intro 11] Emoji ✨ trên chip "Chart decides" gần như không thấy trên nền gold</t>
        </is>
      </c>
      <c r="F15" s="14" t="inlineStr">
        <is>
          <t>- Khi chip "Chart decides" ở trạng thái selected, emoji ✨ màu vàng nằm trên nền gold nên rất khó nhìn thấy.</t>
        </is>
      </c>
      <c r="G15" s="14" t="inlineStr">
        <is>
          <t>- Cần đối chiếu Figma: icon trên chip selected cần đủ độ tương phản.</t>
        </is>
      </c>
      <c r="H15" s="14" t="inlineStr">
        <is>
          <t>Screenshot/Video: screens/11-11-small-p1.png, screens/11-11-large.png</t>
        </is>
      </c>
    </row>
    <row r="16">
      <c r="A16" s="5" t="n">
        <v>9</v>
      </c>
      <c r="B16" s="5" t="inlineStr">
        <is>
          <t>Intro 12</t>
        </is>
      </c>
      <c r="C16" s="5" t="inlineStr">
        <is>
          <t>[UI/UX]</t>
        </is>
      </c>
      <c r="D16" s="15" t="inlineStr">
        <is>
          <t>Low</t>
        </is>
      </c>
      <c r="E16" s="14" t="inlineStr">
        <is>
          <t>[UI/UX][Intro 12] Màn multi-select dùng indicator dạng radio tròn</t>
        </is>
      </c>
      <c r="F16" s="14" t="inlineStr">
        <is>
          <t>- Màn "What must they have?" cho chọn tối đa 3 nhưng mỗi option có indicator hình tròn giống radio button (single-select).</t>
        </is>
      </c>
      <c r="G16" s="14" t="inlineStr">
        <is>
          <t>- Cần đối chiếu Figma: brief ghi "Multi-select, 1-3 picks" và "selected ones fill solid with a small check"; indicator nên thể hiện được là chọn nhiều.</t>
        </is>
      </c>
      <c r="H16" s="14" t="inlineStr">
        <is>
          <t>Screenshot/Video: screens/12-12-small.png, screens/12-12-large.png</t>
        </is>
      </c>
    </row>
    <row r="17">
      <c r="A17" s="16" t="inlineStr"/>
      <c r="B17" s="16" t="inlineStr">
        <is>
          <t>Intro 13</t>
        </is>
      </c>
      <c r="C17" s="16" t="inlineStr"/>
      <c r="D17" s="16" t="inlineStr"/>
      <c r="E17" s="17" t="inlineStr">
        <is>
          <t>Không phát hiện lỗi</t>
        </is>
      </c>
      <c r="F17" s="17" t="inlineStr"/>
      <c r="G17" s="17" t="inlineStr"/>
      <c r="H17" s="17" t="inlineStr"/>
    </row>
    <row r="18">
      <c r="A18" s="16" t="inlineStr"/>
      <c r="B18" s="16" t="inlineStr">
        <is>
          <t>Intro 14</t>
        </is>
      </c>
      <c r="C18" s="16" t="inlineStr"/>
      <c r="D18" s="16" t="inlineStr"/>
      <c r="E18" s="17" t="inlineStr">
        <is>
          <t>Không phát hiện lỗi</t>
        </is>
      </c>
      <c r="F18" s="17" t="inlineStr"/>
      <c r="G18" s="17" t="inlineStr"/>
      <c r="H18" s="17" t="inlineStr"/>
    </row>
    <row r="19">
      <c r="A19" s="16" t="inlineStr"/>
      <c r="B19" s="16" t="inlineStr">
        <is>
          <t>Intro 15</t>
        </is>
      </c>
      <c r="C19" s="16" t="inlineStr"/>
      <c r="D19" s="16" t="inlineStr"/>
      <c r="E19" s="17" t="inlineStr">
        <is>
          <t>Không phát hiện lỗi</t>
        </is>
      </c>
      <c r="F19" s="17" t="inlineStr"/>
      <c r="G19" s="17" t="inlineStr"/>
      <c r="H19" s="17" t="inlineStr"/>
    </row>
    <row r="20">
      <c r="A20" s="16" t="inlineStr"/>
      <c r="B20" s="16" t="inlineStr">
        <is>
          <t>Intro 16</t>
        </is>
      </c>
      <c r="C20" s="16" t="inlineStr"/>
      <c r="D20" s="16" t="inlineStr"/>
      <c r="E20" s="17" t="inlineStr">
        <is>
          <t>Không phát hiện lỗi</t>
        </is>
      </c>
      <c r="F20" s="17" t="inlineStr"/>
      <c r="G20" s="17" t="inlineStr"/>
      <c r="H20" s="17" t="inlineStr"/>
    </row>
    <row r="21">
      <c r="A21" s="5" t="n">
        <v>10</v>
      </c>
      <c r="B21" s="5" t="inlineStr">
        <is>
          <t>Intro 17</t>
        </is>
      </c>
      <c r="C21" s="5" t="inlineStr">
        <is>
          <t>[UI]</t>
        </is>
      </c>
      <c r="D21" s="15" t="inlineStr">
        <is>
          <t>Low</t>
        </is>
      </c>
      <c r="E21" s="14" t="inlineStr">
        <is>
          <t>[UI][Intro 17] Outline bàn tay nét đứt bị hở giữa các ngón</t>
        </is>
      </c>
      <c r="F21" s="14" t="inlineStr">
        <is>
          <t>- Trong khung camera (id: 17), outline bàn tay dạng nét đứt không liền: cạnh trong của các ngón dừng giữa chừng, không nối vào lòng bàn tay, nét ngón trỏ và ngón giữa chồng lên nhau.</t>
        </is>
      </c>
      <c r="G21" s="14" t="inlineStr">
        <is>
          <t>- Cần đối chiếu Figma: outline cần là một đường liền mạch quanh bàn tay (brief: "palm-outline overlay").</t>
        </is>
      </c>
      <c r="H21" s="14" t="inlineStr">
        <is>
          <t>Screenshot/Video: screens/17-17-small.png, screens/17-17-large.png</t>
        </is>
      </c>
    </row>
    <row r="22">
      <c r="A22" s="16" t="inlineStr"/>
      <c r="B22" s="16" t="inlineStr">
        <is>
          <t>Intro 18</t>
        </is>
      </c>
      <c r="C22" s="16" t="inlineStr"/>
      <c r="D22" s="16" t="inlineStr"/>
      <c r="E22" s="17" t="inlineStr">
        <is>
          <t>Không phát hiện lỗi</t>
        </is>
      </c>
      <c r="F22" s="17" t="inlineStr"/>
      <c r="G22" s="17" t="inlineStr"/>
      <c r="H22" s="17" t="inlineStr"/>
    </row>
    <row r="23">
      <c r="A23" s="16" t="inlineStr"/>
      <c r="B23" s="16" t="inlineStr">
        <is>
          <t>Intro 19</t>
        </is>
      </c>
      <c r="C23" s="16" t="inlineStr"/>
      <c r="D23" s="16" t="inlineStr"/>
      <c r="E23" s="17" t="inlineStr">
        <is>
          <t>Không phát hiện lỗi</t>
        </is>
      </c>
      <c r="F23" s="17" t="inlineStr"/>
      <c r="G23" s="17" t="inlineStr"/>
      <c r="H23" s="17" t="inlineStr"/>
    </row>
    <row r="24">
      <c r="A24" s="5" t="n">
        <v>11</v>
      </c>
      <c r="B24" s="5" t="inlineStr">
        <is>
          <t>Intro 20</t>
        </is>
      </c>
      <c r="C24" s="5" t="inlineStr">
        <is>
          <t>[UI]</t>
        </is>
      </c>
      <c r="D24" s="15" t="inlineStr">
        <is>
          <t>Low</t>
        </is>
      </c>
      <c r="E24" s="14" t="inlineStr">
        <is>
          <t>[UI][Intro 20] Headline sát mép trên màn, không đồng nhất với các màn khác</t>
        </is>
      </c>
      <c r="F24" s="14" t="inlineStr">
        <is>
          <t>- Ở màn "test, your sketch is ready" (id: 20), headline nằm sát mép trên viewport, không có hàng back/progress, trong khi các màn trước đều có header và khoảng cách phía trên headline.</t>
        </is>
      </c>
      <c r="G24" s="14" t="inlineStr">
        <is>
          <t>- Cần đối chiếu Figma: khoảng cách phía trên headline cần đồng nhất với các màn khác trong funnel.</t>
        </is>
      </c>
      <c r="H24" s="14" t="inlineStr">
        <is>
          <t>Screenshot/Video: screens/20-20-small-p1.png, screens/20-20-large.png</t>
        </is>
      </c>
    </row>
    <row r="25">
      <c r="A25" s="16" t="inlineStr"/>
      <c r="B25" s="16" t="inlineStr">
        <is>
          <t>Intro 21</t>
        </is>
      </c>
      <c r="C25" s="16" t="inlineStr"/>
      <c r="D25" s="16" t="inlineStr"/>
      <c r="E25" s="17" t="inlineStr">
        <is>
          <t>Không phát hiện lỗi</t>
        </is>
      </c>
      <c r="F25" s="17" t="inlineStr"/>
      <c r="G25" s="17" t="inlineStr"/>
      <c r="H25" s="17" t="inlineStr"/>
    </row>
    <row r="26">
      <c r="A26" s="5" t="n">
        <v>12</v>
      </c>
      <c r="B26" s="5" t="inlineStr">
        <is>
          <t>Paywall 1</t>
        </is>
      </c>
      <c r="C26" s="5" t="inlineStr">
        <is>
          <t>[UI/UX]</t>
        </is>
      </c>
      <c r="D26" s="13" t="inlineStr">
        <is>
          <t>High</t>
        </is>
      </c>
      <c r="E26" s="14" t="inlineStr">
        <is>
          <t>[UI/UX][Paywall 1] Không có sticky bottom CTA khi không còn plan block trên màn</t>
        </is>
      </c>
      <c r="F26" s="14" t="inlineStr">
        <is>
          <t>- Khi cuộn qua các phần "Inside your reading", "How it works", FAQ (không có plan block trên màn), đáy màn không có thanh sticky CTA; chỉ còn mini CTA trên header.</t>
        </is>
      </c>
      <c r="G26" s="14" t="inlineStr">
        <is>
          <t>- Theo brief (Visual màn 22): "a sticky bottom CTA while no plan block is visible".</t>
        </is>
      </c>
      <c r="H26" s="14" t="inlineStr">
        <is>
          <t>Screenshot/Video: screens/22-22-small-p2.png, screens/22-22-small-p3.png, screens/22-22-large-p2.png</t>
        </is>
      </c>
    </row>
    <row r="27">
      <c r="A27" s="5" t="n">
        <v>13</v>
      </c>
      <c r="B27" s="5" t="inlineStr">
        <is>
          <t>Paywall 1</t>
        </is>
      </c>
      <c r="C27" s="5" t="inlineStr">
        <is>
          <t>[UI]</t>
        </is>
      </c>
      <c r="D27" s="15" t="inlineStr">
        <is>
          <t>Low</t>
        </is>
      </c>
      <c r="E27" s="14" t="inlineStr">
        <is>
          <t>[UI][Paywall 1] Nội dung cuộn hiện xuyên qua sticky header</t>
        </is>
      </c>
      <c r="F27" s="14" t="inlineStr">
        <is>
          <t>- Khi cuộn Paywall 1, text phía sau (vd. "Log in with test@gmail.com...", eyebrow "QUESTIONS") vẫn nhìn thấy mờ xuyên qua sticky header, chồng lên vùng logo "Starlyn".</t>
        </is>
      </c>
      <c r="G27" s="14" t="inlineStr">
        <is>
          <t>- Cần đối chiếu Figma: sticky header cần che nội dung phía sau để không bị chồng chữ.</t>
        </is>
      </c>
      <c r="H27" s="14" t="inlineStr">
        <is>
          <t>Screenshot/Video: screens/22-22-small-p3.png, screens/22-22-large-p3.png</t>
        </is>
      </c>
    </row>
    <row r="28">
      <c r="A28" s="5" t="n">
        <v>14</v>
      </c>
      <c r="B28" s="5" t="inlineStr">
        <is>
          <t>Paywall 1</t>
        </is>
      </c>
      <c r="C28" s="5" t="inlineStr">
        <is>
          <t>[UI]</t>
        </is>
      </c>
      <c r="D28" s="15" t="inlineStr">
        <is>
          <t>Low</t>
        </is>
      </c>
      <c r="E28" s="14" t="inlineStr">
        <is>
          <t>[UI][Paywall 1] Danh sách benefit không khớp copy trong brief</t>
        </is>
      </c>
      <c r="F28" s="14" t="inlineStr">
        <is>
          <t>- Mục "Everything in your reading" hiển thị 5 dòng: "Your partner sign", "Your soulmate sketch", "Their traits and what draws you", "Where and how you may meet", "Your love guidance in the app".</t>
        </is>
      </c>
      <c r="G28" s="14" t="inlineStr">
        <is>
          <t>- Theo brief (Microcopy màn 22): benefit rows "Your soulmate sketch in full HD" / "Their nature, and where you may meet" / "Daily love forecast in the app".</t>
        </is>
      </c>
      <c r="H28" s="14" t="inlineStr">
        <is>
          <t>Screenshot/Video: screens/22-22-small-p2.png, screens/22-22-large-p2.png</t>
        </is>
      </c>
    </row>
    <row r="29">
      <c r="A29" s="5" t="n">
        <v>15</v>
      </c>
      <c r="B29" s="5" t="inlineStr">
        <is>
          <t>Paywall 1</t>
        </is>
      </c>
      <c r="C29" s="5" t="inlineStr">
        <is>
          <t>[UI]</t>
        </is>
      </c>
      <c r="D29" s="15" t="inlineStr">
        <is>
          <t>Low</t>
        </is>
      </c>
      <c r="E29" s="14" t="inlineStr">
        <is>
          <t>[UI][Paywall 1] Icon khóa không đồng nhất với các màn trước</t>
        </is>
      </c>
      <c r="F29" s="14" t="inlineStr">
        <is>
          <t>- Paywall 1 dùng emoji 🔒 màu (ở các dòng locked và "Secure checkout"), trong khi Intro 20 dùng icon khóa dạng line màu gold cho các dòng locked.</t>
        </is>
      </c>
      <c r="G29" s="14" t="inlineStr">
        <is>
          <t>- Cần đối chiếu Figma: icon khóa cần cùng một style trong toàn funnel.</t>
        </is>
      </c>
      <c r="H29" s="14" t="inlineStr">
        <is>
          <t>Screenshot/Video: screens/22-22-small-p2.png, screens/22-22-small-p4.png, screens/20-20-small-p2.png</t>
        </is>
      </c>
    </row>
    <row r="30">
      <c r="A30" s="5" t="n">
        <v>16</v>
      </c>
      <c r="B30" s="5" t="inlineStr">
        <is>
          <t>Paywall 1</t>
        </is>
      </c>
      <c r="C30" s="5" t="inlineStr">
        <is>
          <t>[UI]</t>
        </is>
      </c>
      <c r="D30" s="15" t="inlineStr">
        <is>
          <t>Low</t>
        </is>
      </c>
      <c r="E30" s="14" t="inlineStr">
        <is>
          <t>[UI][Paywall 1] Lưới fact chip bị trống một ô</t>
        </is>
      </c>
      <c r="F30" s="14" t="inlineStr">
        <is>
          <t>- Khối fact chip ở hero có 3 chip (Sun, Name, Sketch) xếp lưới 2 cột nên ô bên phải hàng thứ 2 bị trống.</t>
        </is>
      </c>
      <c r="G30" s="14" t="inlineStr">
        <is>
          <t>- Spec chưa định nghĩa – cần PM/Designer confirm.</t>
        </is>
      </c>
      <c r="H30" s="14" t="inlineStr">
        <is>
          <t>Screenshot/Video: screens/22-22-small-p1.png, screens/22-22-large-p1.png</t>
        </is>
      </c>
    </row>
    <row r="31">
      <c r="A31" s="16" t="inlineStr"/>
      <c r="B31" s="16" t="inlineStr">
        <is>
          <t>Upsale 1</t>
        </is>
      </c>
      <c r="C31" s="16" t="inlineStr"/>
      <c r="D31" s="16" t="inlineStr"/>
      <c r="E31" s="17" t="inlineStr">
        <is>
          <t>Không phát hiện lỗi</t>
        </is>
      </c>
      <c r="F31" s="17" t="inlineStr"/>
      <c r="G31" s="17" t="inlineStr"/>
      <c r="H31" s="17" t="inlineStr"/>
    </row>
    <row r="32">
      <c r="A32" s="16" t="inlineStr"/>
      <c r="B32" s="16" t="inlineStr">
        <is>
          <t>Download App</t>
        </is>
      </c>
      <c r="C32" s="16" t="inlineStr"/>
      <c r="D32" s="16" t="inlineStr"/>
      <c r="E32" s="17" t="inlineStr">
        <is>
          <t>Không phát hiện lỗi</t>
        </is>
      </c>
      <c r="F32" s="17" t="inlineStr"/>
      <c r="G32" s="17" t="inlineStr"/>
      <c r="H32" s="17" t="inlineStr"/>
    </row>
  </sheetData>
  <autoFilter ref="A1:H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2026-10-06T08:51:21Z</dcterms:created>
  <dcterms:modified xmlns:dcterms="http://purl.org/dc/terms/" xmlns:xsi="http://www.w3.org/2001/XMLSchema-instance" xsi:type="dcterms:W3CDTF">2026-10-06T08:51:22Z</dcterms:modified>
</cp:coreProperties>
</file>