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Retest bug cũ" sheetId="2" state="visible" r:id="rId2"/>
    <sheet xmlns:r="http://schemas.openxmlformats.org/officeDocument/2006/relationships" name="Bug đang mở" sheetId="3" state="visible" r:id="rId3"/>
  </sheets>
  <definedNames>
    <definedName name="_xlnm._FilterDatabase" localSheetId="1" hidden="1">'Retest bug cũ'!$A$1:$H$118</definedName>
    <definedName name="_xlnm._FilterDatabase" localSheetId="2" hidden="1">'Bug đang mở'!$A$1:$J$41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9">
    <fill>
      <patternFill/>
    </fill>
    <fill>
      <patternFill patternType="gray125"/>
    </fill>
    <fill>
      <patternFill patternType="solid">
        <fgColor rgb="001F4E78"/>
      </patternFill>
    </fill>
    <fill>
      <patternFill patternType="solid">
        <fgColor rgb="00F8CBAD"/>
      </patternFill>
    </fill>
    <fill>
      <patternFill patternType="solid">
        <fgColor rgb="00C6EFCE"/>
      </patternFill>
    </fill>
    <fill>
      <patternFill patternType="solid">
        <fgColor rgb="00E2EFDA"/>
      </patternFill>
    </fill>
    <fill>
      <patternFill patternType="solid">
        <fgColor rgb="00FFE699"/>
      </patternFill>
    </fill>
    <fill>
      <patternFill patternType="solid">
        <fgColor rgb="00FFEB9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wrapText="1"/>
    </xf>
    <xf numFmtId="0" fontId="3" fillId="8" borderId="1" applyAlignment="1" pivotButton="0" quotePrefix="0" xfId="0">
      <alignment vertical="center"/>
    </xf>
    <xf numFmtId="0" fontId="3" fillId="8"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Starlyn – Retest lượt 2 (06/10/2026)</t>
        </is>
      </c>
    </row>
    <row r="2">
      <c r="A2" t="inlineStr">
        <is>
          <t>Test funnel.html sau commit fix 47087fd (+ thay đổi chưa commit lúc 17:11) · 375×667 + 430×932 · cả 10 funnel đi thật tới paywall không lỗi JS · Tester: Claude Code</t>
        </is>
      </c>
    </row>
    <row r="4">
      <c r="A4" s="2" t="inlineStr">
        <is>
          <t>Funnel</t>
        </is>
      </c>
      <c r="B4" s="2" t="inlineStr">
        <is>
          <t>Bug cũ</t>
        </is>
      </c>
      <c r="C4" s="2" t="inlineStr">
        <is>
          <t>Fixed</t>
        </is>
      </c>
      <c r="D4" s="2" t="inlineStr">
        <is>
          <t>Partly fixed</t>
        </is>
      </c>
      <c r="E4" s="2" t="inlineStr">
        <is>
          <t>Cần PM</t>
        </is>
      </c>
      <c r="F4" s="2" t="inlineStr">
        <is>
          <t>Not fixed</t>
        </is>
      </c>
      <c r="G4" s="2" t="inlineStr">
        <is>
          <t>Bug mới</t>
        </is>
      </c>
      <c r="H4" s="2" t="inlineStr">
        <is>
          <t>Mới: High</t>
        </is>
      </c>
      <c r="I4" s="2" t="inlineStr">
        <is>
          <t>Mới: Medium</t>
        </is>
      </c>
      <c r="J4" s="2" t="inlineStr">
        <is>
          <t>Mới: Low</t>
        </is>
      </c>
      <c r="K4" s="2" t="inlineStr">
        <is>
          <t>Đang mở</t>
        </is>
      </c>
    </row>
    <row r="5">
      <c r="A5" s="3" t="inlineStr">
        <is>
          <t>astrocartography</t>
        </is>
      </c>
      <c r="B5" s="4">
        <f>COUNTIF('Retest bug cũ'!$A$2:$A$118,$A5)</f>
        <v/>
      </c>
      <c r="C5" s="4">
        <f>COUNTIFS('Retest bug cũ'!$A$2:$A$118,$A5,'Retest bug cũ'!$F$2:$F$118,"Fixed")</f>
        <v/>
      </c>
      <c r="D5" s="4">
        <f>COUNTIFS('Retest bug cũ'!$A$2:$A$118,$A5,'Retest bug cũ'!$F$2:$F$118,"Partly fixed")</f>
        <v/>
      </c>
      <c r="E5" s="4">
        <f>COUNTIFS('Retest bug cũ'!$A$2:$A$118,$A5,'Retest bug cũ'!$F$2:$F$118,"Cần PM")</f>
        <v/>
      </c>
      <c r="F5" s="4">
        <f>COUNTIFS('Retest bug cũ'!$A$2:$A$118,$A5,'Retest bug cũ'!$F$2:$F$118,"Not fixed")</f>
        <v/>
      </c>
      <c r="G5" s="4">
        <f>COUNTIFS('Bug đang mở'!$B$2:$B$41,$A5,'Bug đang mở'!$E$2:$E$41,"Bug mới")</f>
        <v/>
      </c>
      <c r="H5" s="4">
        <f>COUNTIFS('Bug đang mở'!$B$2:$B$41,$A5,'Bug đang mở'!$E$2:$E$41,"Bug mới",'Bug đang mở'!$D$2:$D$41,"High")</f>
        <v/>
      </c>
      <c r="I5" s="4">
        <f>COUNTIFS('Bug đang mở'!$B$2:$B$41,$A5,'Bug đang mở'!$E$2:$E$41,"Bug mới",'Bug đang mở'!$D$2:$D$41,"Medium")</f>
        <v/>
      </c>
      <c r="J5" s="4">
        <f>COUNTIFS('Bug đang mở'!$B$2:$B$41,$A5,'Bug đang mở'!$E$2:$E$41,"Bug mới",'Bug đang mở'!$D$2:$D$41,"Low")</f>
        <v/>
      </c>
      <c r="K5" s="4">
        <f>COUNTIF('Bug đang mở'!$B$2:$B$41,$A5)</f>
        <v/>
      </c>
    </row>
    <row r="6">
      <c r="A6" s="3" t="inlineStr">
        <is>
          <t>aura-tarot</t>
        </is>
      </c>
      <c r="B6" s="4">
        <f>COUNTIF('Retest bug cũ'!$A$2:$A$118,$A6)</f>
        <v/>
      </c>
      <c r="C6" s="4">
        <f>COUNTIFS('Retest bug cũ'!$A$2:$A$118,$A6,'Retest bug cũ'!$F$2:$F$118,"Fixed")</f>
        <v/>
      </c>
      <c r="D6" s="4">
        <f>COUNTIFS('Retest bug cũ'!$A$2:$A$118,$A6,'Retest bug cũ'!$F$2:$F$118,"Partly fixed")</f>
        <v/>
      </c>
      <c r="E6" s="4">
        <f>COUNTIFS('Retest bug cũ'!$A$2:$A$118,$A6,'Retest bug cũ'!$F$2:$F$118,"Cần PM")</f>
        <v/>
      </c>
      <c r="F6" s="4">
        <f>COUNTIFS('Retest bug cũ'!$A$2:$A$118,$A6,'Retest bug cũ'!$F$2:$F$118,"Not fixed")</f>
        <v/>
      </c>
      <c r="G6" s="4">
        <f>COUNTIFS('Bug đang mở'!$B$2:$B$41,$A6,'Bug đang mở'!$E$2:$E$41,"Bug mới")</f>
        <v/>
      </c>
      <c r="H6" s="4">
        <f>COUNTIFS('Bug đang mở'!$B$2:$B$41,$A6,'Bug đang mở'!$E$2:$E$41,"Bug mới",'Bug đang mở'!$D$2:$D$41,"High")</f>
        <v/>
      </c>
      <c r="I6" s="4">
        <f>COUNTIFS('Bug đang mở'!$B$2:$B$41,$A6,'Bug đang mở'!$E$2:$E$41,"Bug mới",'Bug đang mở'!$D$2:$D$41,"Medium")</f>
        <v/>
      </c>
      <c r="J6" s="4">
        <f>COUNTIFS('Bug đang mở'!$B$2:$B$41,$A6,'Bug đang mở'!$E$2:$E$41,"Bug mới",'Bug đang mở'!$D$2:$D$41,"Low")</f>
        <v/>
      </c>
      <c r="K6" s="4">
        <f>COUNTIF('Bug đang mở'!$B$2:$B$41,$A6)</f>
        <v/>
      </c>
    </row>
    <row r="7">
      <c r="A7" s="3" t="inlineStr">
        <is>
          <t>ex-compatibility</t>
        </is>
      </c>
      <c r="B7" s="4">
        <f>COUNTIF('Retest bug cũ'!$A$2:$A$118,$A7)</f>
        <v/>
      </c>
      <c r="C7" s="4">
        <f>COUNTIFS('Retest bug cũ'!$A$2:$A$118,$A7,'Retest bug cũ'!$F$2:$F$118,"Fixed")</f>
        <v/>
      </c>
      <c r="D7" s="4">
        <f>COUNTIFS('Retest bug cũ'!$A$2:$A$118,$A7,'Retest bug cũ'!$F$2:$F$118,"Partly fixed")</f>
        <v/>
      </c>
      <c r="E7" s="4">
        <f>COUNTIFS('Retest bug cũ'!$A$2:$A$118,$A7,'Retest bug cũ'!$F$2:$F$118,"Cần PM")</f>
        <v/>
      </c>
      <c r="F7" s="4">
        <f>COUNTIFS('Retest bug cũ'!$A$2:$A$118,$A7,'Retest bug cũ'!$F$2:$F$118,"Not fixed")</f>
        <v/>
      </c>
      <c r="G7" s="4">
        <f>COUNTIFS('Bug đang mở'!$B$2:$B$41,$A7,'Bug đang mở'!$E$2:$E$41,"Bug mới")</f>
        <v/>
      </c>
      <c r="H7" s="4">
        <f>COUNTIFS('Bug đang mở'!$B$2:$B$41,$A7,'Bug đang mở'!$E$2:$E$41,"Bug mới",'Bug đang mở'!$D$2:$D$41,"High")</f>
        <v/>
      </c>
      <c r="I7" s="4">
        <f>COUNTIFS('Bug đang mở'!$B$2:$B$41,$A7,'Bug đang mở'!$E$2:$E$41,"Bug mới",'Bug đang mở'!$D$2:$D$41,"Medium")</f>
        <v/>
      </c>
      <c r="J7" s="4">
        <f>COUNTIFS('Bug đang mở'!$B$2:$B$41,$A7,'Bug đang mở'!$E$2:$E$41,"Bug mới",'Bug đang mở'!$D$2:$D$41,"Low")</f>
        <v/>
      </c>
      <c r="K7" s="4">
        <f>COUNTIF('Bug đang mở'!$B$2:$B$41,$A7)</f>
        <v/>
      </c>
    </row>
    <row r="8">
      <c r="A8" s="3" t="inlineStr">
        <is>
          <t>marriage-compatibility</t>
        </is>
      </c>
      <c r="B8" s="4">
        <f>COUNTIF('Retest bug cũ'!$A$2:$A$118,$A8)</f>
        <v/>
      </c>
      <c r="C8" s="4">
        <f>COUNTIFS('Retest bug cũ'!$A$2:$A$118,$A8,'Retest bug cũ'!$F$2:$F$118,"Fixed")</f>
        <v/>
      </c>
      <c r="D8" s="4">
        <f>COUNTIFS('Retest bug cũ'!$A$2:$A$118,$A8,'Retest bug cũ'!$F$2:$F$118,"Partly fixed")</f>
        <v/>
      </c>
      <c r="E8" s="4">
        <f>COUNTIFS('Retest bug cũ'!$A$2:$A$118,$A8,'Retest bug cũ'!$F$2:$F$118,"Cần PM")</f>
        <v/>
      </c>
      <c r="F8" s="4">
        <f>COUNTIFS('Retest bug cũ'!$A$2:$A$118,$A8,'Retest bug cũ'!$F$2:$F$118,"Not fixed")</f>
        <v/>
      </c>
      <c r="G8" s="4">
        <f>COUNTIFS('Bug đang mở'!$B$2:$B$41,$A8,'Bug đang mở'!$E$2:$E$41,"Bug mới")</f>
        <v/>
      </c>
      <c r="H8" s="4">
        <f>COUNTIFS('Bug đang mở'!$B$2:$B$41,$A8,'Bug đang mở'!$E$2:$E$41,"Bug mới",'Bug đang mở'!$D$2:$D$41,"High")</f>
        <v/>
      </c>
      <c r="I8" s="4">
        <f>COUNTIFS('Bug đang mở'!$B$2:$B$41,$A8,'Bug đang mở'!$E$2:$E$41,"Bug mới",'Bug đang mở'!$D$2:$D$41,"Medium")</f>
        <v/>
      </c>
      <c r="J8" s="4">
        <f>COUNTIFS('Bug đang mở'!$B$2:$B$41,$A8,'Bug đang mở'!$E$2:$E$41,"Bug mới",'Bug đang mở'!$D$2:$D$41,"Low")</f>
        <v/>
      </c>
      <c r="K8" s="4">
        <f>COUNTIF('Bug đang mở'!$B$2:$B$41,$A8)</f>
        <v/>
      </c>
    </row>
    <row r="9">
      <c r="A9" s="3" t="inlineStr">
        <is>
          <t>moon-reading</t>
        </is>
      </c>
      <c r="B9" s="4">
        <f>COUNTIF('Retest bug cũ'!$A$2:$A$118,$A9)</f>
        <v/>
      </c>
      <c r="C9" s="4">
        <f>COUNTIFS('Retest bug cũ'!$A$2:$A$118,$A9,'Retest bug cũ'!$F$2:$F$118,"Fixed")</f>
        <v/>
      </c>
      <c r="D9" s="4">
        <f>COUNTIFS('Retest bug cũ'!$A$2:$A$118,$A9,'Retest bug cũ'!$F$2:$F$118,"Partly fixed")</f>
        <v/>
      </c>
      <c r="E9" s="4">
        <f>COUNTIFS('Retest bug cũ'!$A$2:$A$118,$A9,'Retest bug cũ'!$F$2:$F$118,"Cần PM")</f>
        <v/>
      </c>
      <c r="F9" s="4">
        <f>COUNTIFS('Retest bug cũ'!$A$2:$A$118,$A9,'Retest bug cũ'!$F$2:$F$118,"Not fixed")</f>
        <v/>
      </c>
      <c r="G9" s="4">
        <f>COUNTIFS('Bug đang mở'!$B$2:$B$41,$A9,'Bug đang mở'!$E$2:$E$41,"Bug mới")</f>
        <v/>
      </c>
      <c r="H9" s="4">
        <f>COUNTIFS('Bug đang mở'!$B$2:$B$41,$A9,'Bug đang mở'!$E$2:$E$41,"Bug mới",'Bug đang mở'!$D$2:$D$41,"High")</f>
        <v/>
      </c>
      <c r="I9" s="4">
        <f>COUNTIFS('Bug đang mở'!$B$2:$B$41,$A9,'Bug đang mở'!$E$2:$E$41,"Bug mới",'Bug đang mở'!$D$2:$D$41,"Medium")</f>
        <v/>
      </c>
      <c r="J9" s="4">
        <f>COUNTIFS('Bug đang mở'!$B$2:$B$41,$A9,'Bug đang mở'!$E$2:$E$41,"Bug mới",'Bug đang mở'!$D$2:$D$41,"Low")</f>
        <v/>
      </c>
      <c r="K9" s="4">
        <f>COUNTIF('Bug đang mở'!$B$2:$B$41,$A9)</f>
        <v/>
      </c>
    </row>
    <row r="10">
      <c r="A10" s="3" t="inlineStr">
        <is>
          <t>palm-reading</t>
        </is>
      </c>
      <c r="B10" s="4">
        <f>COUNTIF('Retest bug cũ'!$A$2:$A$118,$A10)</f>
        <v/>
      </c>
      <c r="C10" s="4">
        <f>COUNTIFS('Retest bug cũ'!$A$2:$A$118,$A10,'Retest bug cũ'!$F$2:$F$118,"Fixed")</f>
        <v/>
      </c>
      <c r="D10" s="4">
        <f>COUNTIFS('Retest bug cũ'!$A$2:$A$118,$A10,'Retest bug cũ'!$F$2:$F$118,"Partly fixed")</f>
        <v/>
      </c>
      <c r="E10" s="4">
        <f>COUNTIFS('Retest bug cũ'!$A$2:$A$118,$A10,'Retest bug cũ'!$F$2:$F$118,"Cần PM")</f>
        <v/>
      </c>
      <c r="F10" s="4">
        <f>COUNTIFS('Retest bug cũ'!$A$2:$A$118,$A10,'Retest bug cũ'!$F$2:$F$118,"Not fixed")</f>
        <v/>
      </c>
      <c r="G10" s="4">
        <f>COUNTIFS('Bug đang mở'!$B$2:$B$41,$A10,'Bug đang mở'!$E$2:$E$41,"Bug mới")</f>
        <v/>
      </c>
      <c r="H10" s="4">
        <f>COUNTIFS('Bug đang mở'!$B$2:$B$41,$A10,'Bug đang mở'!$E$2:$E$41,"Bug mới",'Bug đang mở'!$D$2:$D$41,"High")</f>
        <v/>
      </c>
      <c r="I10" s="4">
        <f>COUNTIFS('Bug đang mở'!$B$2:$B$41,$A10,'Bug đang mở'!$E$2:$E$41,"Bug mới",'Bug đang mở'!$D$2:$D$41,"Medium")</f>
        <v/>
      </c>
      <c r="J10" s="4">
        <f>COUNTIFS('Bug đang mở'!$B$2:$B$41,$A10,'Bug đang mở'!$E$2:$E$41,"Bug mới",'Bug đang mở'!$D$2:$D$41,"Low")</f>
        <v/>
      </c>
      <c r="K10" s="4">
        <f>COUNTIF('Bug đang mở'!$B$2:$B$41,$A10)</f>
        <v/>
      </c>
    </row>
    <row r="11">
      <c r="A11" s="3" t="inlineStr">
        <is>
          <t>past-life</t>
        </is>
      </c>
      <c r="B11" s="4">
        <f>COUNTIF('Retest bug cũ'!$A$2:$A$118,$A11)</f>
        <v/>
      </c>
      <c r="C11" s="4">
        <f>COUNTIFS('Retest bug cũ'!$A$2:$A$118,$A11,'Retest bug cũ'!$F$2:$F$118,"Fixed")</f>
        <v/>
      </c>
      <c r="D11" s="4">
        <f>COUNTIFS('Retest bug cũ'!$A$2:$A$118,$A11,'Retest bug cũ'!$F$2:$F$118,"Partly fixed")</f>
        <v/>
      </c>
      <c r="E11" s="4">
        <f>COUNTIFS('Retest bug cũ'!$A$2:$A$118,$A11,'Retest bug cũ'!$F$2:$F$118,"Cần PM")</f>
        <v/>
      </c>
      <c r="F11" s="4">
        <f>COUNTIFS('Retest bug cũ'!$A$2:$A$118,$A11,'Retest bug cũ'!$F$2:$F$118,"Not fixed")</f>
        <v/>
      </c>
      <c r="G11" s="4">
        <f>COUNTIFS('Bug đang mở'!$B$2:$B$41,$A11,'Bug đang mở'!$E$2:$E$41,"Bug mới")</f>
        <v/>
      </c>
      <c r="H11" s="4">
        <f>COUNTIFS('Bug đang mở'!$B$2:$B$41,$A11,'Bug đang mở'!$E$2:$E$41,"Bug mới",'Bug đang mở'!$D$2:$D$41,"High")</f>
        <v/>
      </c>
      <c r="I11" s="4">
        <f>COUNTIFS('Bug đang mở'!$B$2:$B$41,$A11,'Bug đang mở'!$E$2:$E$41,"Bug mới",'Bug đang mở'!$D$2:$D$41,"Medium")</f>
        <v/>
      </c>
      <c r="J11" s="4">
        <f>COUNTIFS('Bug đang mở'!$B$2:$B$41,$A11,'Bug đang mở'!$E$2:$E$41,"Bug mới",'Bug đang mở'!$D$2:$D$41,"Low")</f>
        <v/>
      </c>
      <c r="K11" s="4">
        <f>COUNTIF('Bug đang mở'!$B$2:$B$41,$A11)</f>
        <v/>
      </c>
    </row>
    <row r="12">
      <c r="A12" s="3" t="inlineStr">
        <is>
          <t>soulmate-sketch</t>
        </is>
      </c>
      <c r="B12" s="4">
        <f>COUNTIF('Retest bug cũ'!$A$2:$A$118,$A12)</f>
        <v/>
      </c>
      <c r="C12" s="4">
        <f>COUNTIFS('Retest bug cũ'!$A$2:$A$118,$A12,'Retest bug cũ'!$F$2:$F$118,"Fixed")</f>
        <v/>
      </c>
      <c r="D12" s="4">
        <f>COUNTIFS('Retest bug cũ'!$A$2:$A$118,$A12,'Retest bug cũ'!$F$2:$F$118,"Partly fixed")</f>
        <v/>
      </c>
      <c r="E12" s="4">
        <f>COUNTIFS('Retest bug cũ'!$A$2:$A$118,$A12,'Retest bug cũ'!$F$2:$F$118,"Cần PM")</f>
        <v/>
      </c>
      <c r="F12" s="4">
        <f>COUNTIFS('Retest bug cũ'!$A$2:$A$118,$A12,'Retest bug cũ'!$F$2:$F$118,"Not fixed")</f>
        <v/>
      </c>
      <c r="G12" s="4">
        <f>COUNTIFS('Bug đang mở'!$B$2:$B$41,$A12,'Bug đang mở'!$E$2:$E$41,"Bug mới")</f>
        <v/>
      </c>
      <c r="H12" s="4">
        <f>COUNTIFS('Bug đang mở'!$B$2:$B$41,$A12,'Bug đang mở'!$E$2:$E$41,"Bug mới",'Bug đang mở'!$D$2:$D$41,"High")</f>
        <v/>
      </c>
      <c r="I12" s="4">
        <f>COUNTIFS('Bug đang mở'!$B$2:$B$41,$A12,'Bug đang mở'!$E$2:$E$41,"Bug mới",'Bug đang mở'!$D$2:$D$41,"Medium")</f>
        <v/>
      </c>
      <c r="J12" s="4">
        <f>COUNTIFS('Bug đang mở'!$B$2:$B$41,$A12,'Bug đang mở'!$E$2:$E$41,"Bug mới",'Bug đang mở'!$D$2:$D$41,"Low")</f>
        <v/>
      </c>
      <c r="K12" s="4">
        <f>COUNTIF('Bug đang mở'!$B$2:$B$41,$A12)</f>
        <v/>
      </c>
    </row>
    <row r="13">
      <c r="A13" s="3" t="inlineStr">
        <is>
          <t>tarot</t>
        </is>
      </c>
      <c r="B13" s="4">
        <f>COUNTIF('Retest bug cũ'!$A$2:$A$118,$A13)</f>
        <v/>
      </c>
      <c r="C13" s="4">
        <f>COUNTIFS('Retest bug cũ'!$A$2:$A$118,$A13,'Retest bug cũ'!$F$2:$F$118,"Fixed")</f>
        <v/>
      </c>
      <c r="D13" s="4">
        <f>COUNTIFS('Retest bug cũ'!$A$2:$A$118,$A13,'Retest bug cũ'!$F$2:$F$118,"Partly fixed")</f>
        <v/>
      </c>
      <c r="E13" s="4">
        <f>COUNTIFS('Retest bug cũ'!$A$2:$A$118,$A13,'Retest bug cũ'!$F$2:$F$118,"Cần PM")</f>
        <v/>
      </c>
      <c r="F13" s="4">
        <f>COUNTIFS('Retest bug cũ'!$A$2:$A$118,$A13,'Retest bug cũ'!$F$2:$F$118,"Not fixed")</f>
        <v/>
      </c>
      <c r="G13" s="4">
        <f>COUNTIFS('Bug đang mở'!$B$2:$B$41,$A13,'Bug đang mở'!$E$2:$E$41,"Bug mới")</f>
        <v/>
      </c>
      <c r="H13" s="4">
        <f>COUNTIFS('Bug đang mở'!$B$2:$B$41,$A13,'Bug đang mở'!$E$2:$E$41,"Bug mới",'Bug đang mở'!$D$2:$D$41,"High")</f>
        <v/>
      </c>
      <c r="I13" s="4">
        <f>COUNTIFS('Bug đang mở'!$B$2:$B$41,$A13,'Bug đang mở'!$E$2:$E$41,"Bug mới",'Bug đang mở'!$D$2:$D$41,"Medium")</f>
        <v/>
      </c>
      <c r="J13" s="4">
        <f>COUNTIFS('Bug đang mở'!$B$2:$B$41,$A13,'Bug đang mở'!$E$2:$E$41,"Bug mới",'Bug đang mở'!$D$2:$D$41,"Low")</f>
        <v/>
      </c>
      <c r="K13" s="4">
        <f>COUNTIF('Bug đang mở'!$B$2:$B$41,$A13)</f>
        <v/>
      </c>
    </row>
    <row r="14">
      <c r="A14" s="3" t="inlineStr">
        <is>
          <t>witch-power</t>
        </is>
      </c>
      <c r="B14" s="4">
        <f>COUNTIF('Retest bug cũ'!$A$2:$A$118,$A14)</f>
        <v/>
      </c>
      <c r="C14" s="4">
        <f>COUNTIFS('Retest bug cũ'!$A$2:$A$118,$A14,'Retest bug cũ'!$F$2:$F$118,"Fixed")</f>
        <v/>
      </c>
      <c r="D14" s="4">
        <f>COUNTIFS('Retest bug cũ'!$A$2:$A$118,$A14,'Retest bug cũ'!$F$2:$F$118,"Partly fixed")</f>
        <v/>
      </c>
      <c r="E14" s="4">
        <f>COUNTIFS('Retest bug cũ'!$A$2:$A$118,$A14,'Retest bug cũ'!$F$2:$F$118,"Cần PM")</f>
        <v/>
      </c>
      <c r="F14" s="4">
        <f>COUNTIFS('Retest bug cũ'!$A$2:$A$118,$A14,'Retest bug cũ'!$F$2:$F$118,"Not fixed")</f>
        <v/>
      </c>
      <c r="G14" s="4">
        <f>COUNTIFS('Bug đang mở'!$B$2:$B$41,$A14,'Bug đang mở'!$E$2:$E$41,"Bug mới")</f>
        <v/>
      </c>
      <c r="H14" s="4">
        <f>COUNTIFS('Bug đang mở'!$B$2:$B$41,$A14,'Bug đang mở'!$E$2:$E$41,"Bug mới",'Bug đang mở'!$D$2:$D$41,"High")</f>
        <v/>
      </c>
      <c r="I14" s="4">
        <f>COUNTIFS('Bug đang mở'!$B$2:$B$41,$A14,'Bug đang mở'!$E$2:$E$41,"Bug mới",'Bug đang mở'!$D$2:$D$41,"Medium")</f>
        <v/>
      </c>
      <c r="J14" s="4">
        <f>COUNTIFS('Bug đang mở'!$B$2:$B$41,$A14,'Bug đang mở'!$E$2:$E$41,"Bug mới",'Bug đang mở'!$D$2:$D$41,"Low")</f>
        <v/>
      </c>
      <c r="K14" s="4">
        <f>COUNTIF('Bug đang mở'!$B$2:$B$41,$A14)</f>
        <v/>
      </c>
    </row>
    <row r="15">
      <c r="A15" s="5" t="inlineStr">
        <is>
          <t>Tổng</t>
        </is>
      </c>
      <c r="B15" s="6">
        <f>SUM(B5:B14)</f>
        <v/>
      </c>
      <c r="C15" s="6">
        <f>SUM(C5:C14)</f>
        <v/>
      </c>
      <c r="D15" s="6">
        <f>SUM(D5:D14)</f>
        <v/>
      </c>
      <c r="E15" s="6">
        <f>SUM(E5:E14)</f>
        <v/>
      </c>
      <c r="F15" s="6">
        <f>SUM(F5:F14)</f>
        <v/>
      </c>
      <c r="G15" s="6">
        <f>SUM(G5:G14)</f>
        <v/>
      </c>
      <c r="H15" s="6">
        <f>SUM(H5:H14)</f>
        <v/>
      </c>
      <c r="I15" s="6">
        <f>SUM(I5:I14)</f>
        <v/>
      </c>
      <c r="J15" s="6">
        <f>SUM(J5:J14)</f>
        <v/>
      </c>
      <c r="K15" s="6">
        <f>SUM(K5:K14)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4" customWidth="1" min="3" max="3"/>
    <col width="10" customWidth="1" min="4" max="4"/>
    <col width="55" customWidth="1" min="5" max="5"/>
    <col width="13" customWidth="1" min="6" max="6"/>
    <col width="60" customWidth="1" min="7" max="7"/>
    <col width="32" customWidth="1" min="8" max="8"/>
  </cols>
  <sheetData>
    <row r="1">
      <c r="A1" s="2" t="inlineStr">
        <is>
          <t>Funnel</t>
        </is>
      </c>
      <c r="B1" s="2" t="inlineStr">
        <is>
          <t># cũ</t>
        </is>
      </c>
      <c r="C1" s="2" t="inlineStr">
        <is>
          <t>Screen</t>
        </is>
      </c>
      <c r="D1" s="2" t="inlineStr">
        <is>
          <t>Severity</t>
        </is>
      </c>
      <c r="E1" s="2" t="inlineStr">
        <is>
          <t>Title</t>
        </is>
      </c>
      <c r="F1" s="2" t="inlineStr">
        <is>
          <t>Status lượt 2</t>
        </is>
      </c>
      <c r="G1" s="2" t="inlineStr">
        <is>
          <t>Ghi chú lượt 2</t>
        </is>
      </c>
      <c r="H1" s="2" t="inlineStr">
        <is>
          <t>Attachment lượt 2</t>
        </is>
      </c>
    </row>
    <row r="2">
      <c r="A2" s="4" t="inlineStr">
        <is>
          <t>astrocartography</t>
        </is>
      </c>
      <c r="B2" s="4" t="n">
        <v>1</v>
      </c>
      <c r="C2" s="4" t="inlineStr">
        <is>
          <t>Intro 1</t>
        </is>
      </c>
      <c r="D2" s="7" t="inlineStr">
        <is>
          <t>High</t>
        </is>
      </c>
      <c r="E2" s="8" t="inlineStr">
        <is>
          <t>[UI/UX][Intro 1] Link "Terms" và "Privacy Policy" có tap target quá nhỏ</t>
        </is>
      </c>
      <c r="F2" s="9" t="inlineStr">
        <is>
          <t>Fixed</t>
        </is>
      </c>
      <c r="G2" s="8" t="inlineStr">
        <is>
          <t>- Link Terms/Privacy Policy đã underline, auto-check lượt 2 không còn cảnh báo tap target nhỏ ở id 1 và id 20 (cả small/large).</t>
        </is>
      </c>
      <c r="H2" s="8" t="inlineStr">
        <is>
          <t>Screenshot/Video: screens/01-1-small.png, screens/01-1-large.png, screens/20-20-small.png, screens/20-20-large.png, capture.json</t>
        </is>
      </c>
    </row>
    <row r="3">
      <c r="A3" s="4" t="inlineStr">
        <is>
          <t>astrocartography</t>
        </is>
      </c>
      <c r="B3" s="4" t="n">
        <v>2</v>
      </c>
      <c r="C3" s="4" t="inlineStr">
        <is>
          <t>Intro 1</t>
        </is>
      </c>
      <c r="D3" s="10" t="inlineStr">
        <is>
          <t>Low</t>
        </is>
      </c>
      <c r="E3" s="8" t="inlineStr">
        <is>
          <t>[UI][Intro 1] Globe hero không hiển thị các planetary line màu theo spec</t>
        </is>
      </c>
      <c r="F3" s="9" t="inlineStr">
        <is>
          <t>Fixed</t>
        </is>
      </c>
      <c r="G3" s="8" t="inlineStr">
        <is>
          <t>- Intro 1: globe có 3 line màu (cam, hồng, bạc) chạy qua và chấm vị trí user. Intro 17: line màu đang trace pole-to-pole và có city pin vàng (Chicago) đang ping. Ảnh chụp ở 1.2s (bước 47%) nên mới thấy 1 pin, các pin top 3 xuất hiện lần lượt sau đó (timing animation). Dev ghi Partly fixed, QA thấy đủ yếu tố brief – độ tin cậy trung bình.</t>
        </is>
      </c>
      <c r="H3" s="8" t="inlineStr">
        <is>
          <t>Screenshot/Video: screens/01-1-small.png, screens/01-1-large.png, screens/17-17-small.png, screens/17-17-large.png</t>
        </is>
      </c>
    </row>
    <row r="4">
      <c r="A4" s="4" t="inlineStr">
        <is>
          <t>astrocartography</t>
        </is>
      </c>
      <c r="B4" s="4" t="n">
        <v>3</v>
      </c>
      <c r="C4" s="4" t="inlineStr">
        <is>
          <t>Intro 2</t>
        </is>
      </c>
      <c r="D4" s="11" t="inlineStr">
        <is>
          <t>Medium</t>
        </is>
      </c>
      <c r="E4" s="8" t="inlineStr">
        <is>
          <t>[UI][Intro 2] Venus và Jupiter hiển thị cùng màu vàng, không phân biệt được line</t>
        </is>
      </c>
      <c r="F4" s="9" t="inlineStr">
        <is>
          <t>Fixed</t>
        </is>
      </c>
      <c r="G4" s="8" t="inlineStr">
        <is>
          <t>- Venus hiển thị màu hồng (rose), Jupiter vàng, Sun cam, Moon bạc, đồng nhất giữa legend và line ở Intro 2, 4, 9, 18. Intro 2 mới thấy 3/4 chip (thiếu chip Moon) do chip fade-in lần lượt, chip thứ 4 chưa hiện lúc chụp 1.2s – timing, không phải bug.</t>
        </is>
      </c>
      <c r="H4" s="8" t="inlineStr">
        <is>
          <t>Screenshot/Video: screens/02-2-small.png, screens/04-4-small.png, screens/09-9-small-p1.png, screens/18-18-small-p1.png</t>
        </is>
      </c>
    </row>
    <row r="5">
      <c r="A5" s="4" t="inlineStr">
        <is>
          <t>astrocartography</t>
        </is>
      </c>
      <c r="B5" s="4" t="n">
        <v>4</v>
      </c>
      <c r="C5" s="4" t="inlineStr">
        <is>
          <t>Intro 5</t>
        </is>
      </c>
      <c r="D5" s="11" t="inlineStr">
        <is>
          <t>Medium</t>
        </is>
      </c>
      <c r="E5" s="8" t="inlineStr">
        <is>
          <t>[UI][Intro 5] Label trên map card nằm đè lên lưới chấm bản đồ</t>
        </is>
      </c>
      <c r="F5" s="9" t="inlineStr">
        <is>
          <t>Fixed</t>
        </is>
      </c>
      <c r="G5" s="8" t="inlineStr">
        <is>
          <t>- Label "test's map" (Intro 5) và "Chicago" (Intro 11) đã có nền pill tối đặc + viền, đọc rõ trên lưới chấm.</t>
        </is>
      </c>
      <c r="H5" s="8" t="inlineStr">
        <is>
          <t>Screenshot/Video: screens/05-5-small.png, screens/05-5-large.png, screens/11-11-small.png, screens/11-11-large.png</t>
        </is>
      </c>
    </row>
    <row r="6">
      <c r="A6" s="4" t="inlineStr">
        <is>
          <t>astrocartography</t>
        </is>
      </c>
      <c r="B6" s="4" t="n">
        <v>5</v>
      </c>
      <c r="C6" s="4" t="inlineStr">
        <is>
          <t>Intro 6</t>
        </is>
      </c>
      <c r="D6" s="11" t="inlineStr">
        <is>
          <t>Medium</t>
        </is>
      </c>
      <c r="E6" s="8" t="inlineStr">
        <is>
          <t>[UI/UX][Intro 6] Button Continue hiển thị enabled khi chưa chọn ngày sinh, không đồng nhất với các màn input khác</t>
        </is>
      </c>
      <c r="F6" s="9" t="inlineStr">
        <is>
          <t>Fixed</t>
        </is>
      </c>
      <c r="G6" s="8" t="inlineStr">
        <is>
          <t>- Khi Month/Day/Year trống, button Continue hiển thị disabled (xám), đồng nhất với Intro 7, 8, 10, 12, 15.</t>
        </is>
      </c>
      <c r="H6" s="8" t="inlineStr">
        <is>
          <t>Screenshot/Video: screens/06-6-small.png, screens/06-6-large.png</t>
        </is>
      </c>
    </row>
    <row r="7">
      <c r="A7" s="4" t="inlineStr">
        <is>
          <t>astrocartography</t>
        </is>
      </c>
      <c r="B7" s="4" t="n">
        <v>6</v>
      </c>
      <c r="C7" s="4" t="inlineStr">
        <is>
          <t>Intro 7</t>
        </is>
      </c>
      <c r="D7" s="11" t="inlineStr">
        <is>
          <t>Medium</t>
        </is>
      </c>
      <c r="E7" s="8" t="inlineStr">
        <is>
          <t>[UI][Intro 7] Field Time of birth hiển thị hai icon đồng hồ</t>
        </is>
      </c>
      <c r="F7" s="9" t="inlineStr">
        <is>
          <t>Fixed</t>
        </is>
      </c>
      <c r="G7" s="8" t="inlineStr">
        <is>
          <t>- Field Time of birth chỉ còn một icon đồng hồ bên trái.</t>
        </is>
      </c>
      <c r="H7" s="8" t="inlineStr">
        <is>
          <t>Screenshot/Video: screens/07-7-small.png, screens/07-7-large.png</t>
        </is>
      </c>
    </row>
    <row r="8">
      <c r="A8" s="4" t="inlineStr">
        <is>
          <t>astrocartography</t>
        </is>
      </c>
      <c r="B8" s="4" t="n">
        <v>7</v>
      </c>
      <c r="C8" s="4" t="inlineStr">
        <is>
          <t>Intro 9</t>
        </is>
      </c>
      <c r="D8" s="11" t="inlineStr">
        <is>
          <t>Medium</t>
        </is>
      </c>
      <c r="E8" s="8" t="inlineStr">
        <is>
          <t>[UI][Responsive][Intro 9] Map card bị thu thấp và cắt mất phần dưới bản đồ trên màn hình nhỏ</t>
        </is>
      </c>
      <c r="F8" s="9" t="inlineStr">
        <is>
          <t>Fixed</t>
        </is>
      </c>
      <c r="G8" s="8" t="inlineStr">
        <is>
          <t>- Trên small map card hiển thị đủ chiều cao (thấy Nam Mỹ, Úc), màn cho cuộn để xem promise rows, cùng tỉ lệ với large.</t>
        </is>
      </c>
      <c r="H8" s="8" t="inlineStr">
        <is>
          <t>Screenshot/Video: screens/09-9-small-p1.png, screens/09-9-small-p2.png, screens/09-9-large.png</t>
        </is>
      </c>
    </row>
    <row r="9">
      <c r="A9" s="4" t="inlineStr">
        <is>
          <t>astrocartography</t>
        </is>
      </c>
      <c r="B9" s="4" t="n">
        <v>8</v>
      </c>
      <c r="C9" s="4" t="inlineStr">
        <is>
          <t>Intro 14</t>
        </is>
      </c>
      <c r="D9" s="11" t="inlineStr">
        <is>
          <t>Medium</t>
        </is>
      </c>
      <c r="E9" s="8" t="inlineStr">
        <is>
          <t>[UI][Intro 14] Các image card hiển thị viền màu khác nhau khi chưa chọn</t>
        </is>
      </c>
      <c r="F9" s="9" t="inlineStr">
        <is>
          <t>Fixed</t>
        </is>
      </c>
      <c r="G9" s="8" t="inlineStr">
        <is>
          <t>- 4 image card Big city / Coast / Mountains / Small town dùng chung viền xám mặc định khi chưa chọn, giống option "Other".</t>
        </is>
      </c>
      <c r="H9" s="8" t="inlineStr">
        <is>
          <t>Screenshot/Video: screens/14-14-small.png, screens/14-14-large.png</t>
        </is>
      </c>
    </row>
    <row r="10">
      <c r="A10" s="4" t="inlineStr">
        <is>
          <t>astrocartography</t>
        </is>
      </c>
      <c r="B10" s="4" t="n">
        <v>9</v>
      </c>
      <c r="C10" s="4" t="inlineStr">
        <is>
          <t>Intro 15</t>
        </is>
      </c>
      <c r="D10" s="11" t="inlineStr">
        <is>
          <t>Medium</t>
        </is>
      </c>
      <c r="E10" s="8" t="inlineStr">
        <is>
          <t>[UI][Responsive][Intro 15] Option "Anywhere" bị footer che và microcopy bị đẩy xuống dưới fold trên màn hình nhỏ</t>
        </is>
      </c>
      <c r="F10" s="9" t="inlineStr">
        <is>
          <t>Fixed</t>
        </is>
      </c>
      <c r="G10" s="8" t="inlineStr">
        <is>
          <t>- Trên small cả 4 option, microcopy "Your full map still covers the whole world." và "Pick at least one" + Continue đều nằm trong viewport, không bị che.</t>
        </is>
      </c>
      <c r="H10" s="8" t="inlineStr">
        <is>
          <t>Screenshot/Video: screens/15-15-small.png, screens/15-15-large.png</t>
        </is>
      </c>
    </row>
    <row r="11">
      <c r="A11" s="4" t="inlineStr">
        <is>
          <t>astrocartography</t>
        </is>
      </c>
      <c r="B11" s="4" t="n">
        <v>10</v>
      </c>
      <c r="C11" s="4" t="inlineStr">
        <is>
          <t>Intro 18</t>
        </is>
      </c>
      <c r="D11" s="10" t="inlineStr">
        <is>
          <t>Low</t>
        </is>
      </c>
      <c r="E11" s="8" t="inlineStr">
        <is>
          <t>[UI][Intro 18] Màn không có back button và progress bar, nội dung sát mép trên, không đồng nhất header</t>
        </is>
      </c>
      <c r="F11" s="9" t="inlineStr">
        <is>
          <t>Fixed</t>
        </is>
      </c>
      <c r="G11" s="8" t="inlineStr">
        <is>
          <t>- Intro 18 và 19 đã có khoảng đệm bằng chiều cao header phía trên, title không còn sát mép trên. Hai màn vẫn không có back button/progress bar (màn kết quả) – Spec chưa định nghĩa, nếu PM muốn có header đầy đủ thì log riêng.</t>
        </is>
      </c>
      <c r="H11" s="8" t="inlineStr">
        <is>
          <t>Screenshot/Video: screens/18-18-small-p1.png, screens/18-18-large.png, screens/19-19-small.png, screens/19-19-large.png</t>
        </is>
      </c>
    </row>
    <row r="12">
      <c r="A12" s="4" t="inlineStr">
        <is>
          <t>astrocartography</t>
        </is>
      </c>
      <c r="B12" s="4" t="n">
        <v>11</v>
      </c>
      <c r="C12" s="4" t="inlineStr">
        <is>
          <t>Intro 19</t>
        </is>
      </c>
      <c r="D12" s="10" t="inlineStr">
        <is>
          <t>Low</t>
        </is>
      </c>
      <c r="E12" s="8" t="inlineStr">
        <is>
          <t>[UI][Intro 19] Hiển thị dòng copy "Shown only because a line truly falls within 600 miles..." không có trong spec</t>
        </is>
      </c>
      <c r="F12" s="9" t="inlineStr">
        <is>
          <t>Fixed</t>
        </is>
      </c>
      <c r="G12" s="8" t="inlineStr">
        <is>
          <t>- Dòng "Shown only because a line truly falls within 600 miles..." đã bị bỏ, màn chỉ còn Headline, Body và một meaning card theo brief.</t>
        </is>
      </c>
      <c r="H12" s="8" t="inlineStr">
        <is>
          <t>Screenshot/Video: screens/19-19-small.png, screens/19-19-large.png</t>
        </is>
      </c>
    </row>
    <row r="13">
      <c r="A13" s="4" t="inlineStr">
        <is>
          <t>astrocartography</t>
        </is>
      </c>
      <c r="B13" s="4" t="n">
        <v>12</v>
      </c>
      <c r="C13" s="4" t="inlineStr">
        <is>
          <t>Paywall 1</t>
        </is>
      </c>
      <c r="D13" s="7" t="inlineStr">
        <is>
          <t>High</t>
        </is>
      </c>
      <c r="E13" s="8" t="inlineStr">
        <is>
          <t>[UI][Responsive][Paywall 1] CTA "Unlock my map" bị cắt ở mép dưới viewport đầu trên màn hình nhỏ</t>
        </is>
      </c>
      <c r="F13" s="9" t="inlineStr">
        <is>
          <t>Fixed</t>
        </is>
      </c>
      <c r="G13" s="8" t="inlineStr">
        <is>
          <t>- Trên small 375×667, button "Unlock my map" trong plan block hiển thị trọn vẹn ở viewport đầu (cả deep-jump và walk thật).</t>
        </is>
      </c>
      <c r="H13" s="8" t="inlineStr">
        <is>
          <t>Screenshot/Video: screens/21-21-small-p1.png, screens/walk-end-21 (paywall).png, screens/21-21-large-p1.png</t>
        </is>
      </c>
    </row>
    <row r="14">
      <c r="A14" s="4" t="inlineStr">
        <is>
          <t>astrocartography</t>
        </is>
      </c>
      <c r="B14" s="4" t="n">
        <v>13</v>
      </c>
      <c r="C14" s="4" t="inlineStr">
        <is>
          <t>Paywall 1</t>
        </is>
      </c>
      <c r="D14" s="11" t="inlineStr">
        <is>
          <t>Medium</t>
        </is>
      </c>
      <c r="E14" s="8" t="inlineStr">
        <is>
          <t>[UI][Paywall 1] Sticky bottom CTA không có nền che, text phía sau đè lên label gói</t>
        </is>
      </c>
      <c r="F14" s="9" t="inlineStr">
        <is>
          <t>Fixed</t>
        </is>
      </c>
      <c r="G14" s="8" t="inlineStr">
        <is>
          <t>- Sticky bottom bar đã có nền đặc + viền trên, nội dung phía sau (QUESTIONS, Good to know, Your plan) bị che gọn, không còn chữ đè lên "1 week, then monthly · $13.67 today".</t>
        </is>
      </c>
      <c r="H14" s="8" t="inlineStr">
        <is>
          <t>Screenshot/Video: screens/21-21-large-p2.png, screens/21-21-small-p2.png, screens/21-21-small-p3.png</t>
        </is>
      </c>
    </row>
    <row r="15">
      <c r="A15" s="4" t="inlineStr">
        <is>
          <t>astrocartography</t>
        </is>
      </c>
      <c r="B15" s="4" t="n">
        <v>14</v>
      </c>
      <c r="C15" s="4" t="inlineStr">
        <is>
          <t>Upsale 1</t>
        </is>
      </c>
      <c r="D15" s="11" t="inlineStr">
        <is>
          <t>Medium</t>
        </is>
      </c>
      <c r="E15" s="8" t="inlineStr">
        <is>
          <t>[UI][Responsive][Upsale 1] Microcopy dưới card bị ẩn sau sticky CTA trên màn hình nhỏ</t>
        </is>
      </c>
      <c r="F15" s="9" t="inlineStr">
        <is>
          <t>Fixed</t>
        </is>
      </c>
      <c r="G15" s="8" t="inlineStr">
        <is>
          <t>- Trên small dòng "One-time payment at a secure checkout. No subscription." hiển thị ngay dưới card, CTA "Add for $19.99" và link skip nằm bên dưới, không bị che.</t>
        </is>
      </c>
      <c r="H15" s="8" t="inlineStr">
        <is>
          <t>Screenshot/Video: screens/22-22-small.png, screens/22-22-large.png</t>
        </is>
      </c>
    </row>
    <row r="16">
      <c r="A16" s="4" t="inlineStr">
        <is>
          <t>aura-tarot</t>
        </is>
      </c>
      <c r="B16" s="4" t="n">
        <v>1</v>
      </c>
      <c r="C16" s="4" t="inlineStr">
        <is>
          <t>Intro 1</t>
        </is>
      </c>
      <c r="D16" s="11" t="inlineStr">
        <is>
          <t>Medium</t>
        </is>
      </c>
      <c r="E16" s="8" t="inlineStr">
        <is>
          <t>[UI][Intro 1] Ảnh hero có đường viền hình chữ nhật lạ đè lên silhouette</t>
        </is>
      </c>
      <c r="F16" s="12" t="inlineStr">
        <is>
          <t>Partly fixed</t>
        </is>
      </c>
      <c r="G16" s="8" t="inlineStr">
        <is>
          <t>Intro 1 (01-hook-*) và Intro 14 (14-aura_reveal-*) không còn khung/viền lạ. Intro 19 vẫn còn 2 đường kẻ dọc mờ ở mép trái/phải ảnh hero (x≈15pt và x≈415pt trên large), nhìn rõ hơn khi tăng sáng; Intro 14 còn một vệt dọc rất mờ ở mép phải. Độ tin cậy trung bình vì line rất mờ.</t>
        </is>
      </c>
      <c r="H16" s="8" t="inlineStr">
        <is>
          <t>Screenshot/Video: screens/01-hook-small.png, screens/01-hook-large.png, screens/14-aura_reveal-large.png, screens/19-teaser-large.png, screens/19-teaser-small-p1.png</t>
        </is>
      </c>
    </row>
    <row r="17">
      <c r="A17" s="4" t="inlineStr">
        <is>
          <t>aura-tarot</t>
        </is>
      </c>
      <c r="B17" s="4" t="n">
        <v>2</v>
      </c>
      <c r="C17" s="4" t="inlineStr">
        <is>
          <t>Intro 1</t>
        </is>
      </c>
      <c r="D17" s="7" t="inlineStr">
        <is>
          <t>High</t>
        </is>
      </c>
      <c r="E17" s="8" t="inlineStr">
        <is>
          <t>[UI/UX][Intro 1] Text "Terms of Use" / "Privacy Policy" không nhận biết được là link</t>
        </is>
      </c>
      <c r="F17" s="9" t="inlineStr">
        <is>
          <t>Fixed</t>
        </is>
      </c>
      <c r="G17" s="8" t="inlineStr">
        <is>
          <t>"Terms of Use" / "Privacy Policy" đã underline ở Intro 1 và Intro 18, đồng nhất với footer Paywall 1. Kích thước tap target không đo được từ ảnh tĩnh (capture.json không báo tap target nhỏ).</t>
        </is>
      </c>
      <c r="H17" s="8" t="inlineStr">
        <is>
          <t>Screenshot/Video: screens/01-hook-small.png, screens/01-hook-large.png, screens/18-email-small.png, screens/18-email-large.png</t>
        </is>
      </c>
    </row>
    <row r="18">
      <c r="A18" s="4" t="inlineStr">
        <is>
          <t>aura-tarot</t>
        </is>
      </c>
      <c r="B18" s="4" t="n">
        <v>3</v>
      </c>
      <c r="C18" s="4" t="inlineStr">
        <is>
          <t>Intro 1</t>
        </is>
      </c>
      <c r="D18" s="10" t="inlineStr">
        <is>
          <t>Low</t>
        </is>
      </c>
      <c r="E18" s="8" t="inlineStr">
        <is>
          <t>[UI][Responsive][Intro 1] Khoảng trống lớn giữa cụm chip và CTA trên màn hình large</t>
        </is>
      </c>
      <c r="F18" s="9" t="inlineStr">
        <is>
          <t>Fixed</t>
        </is>
      </c>
      <c r="G18" s="8" t="inlineStr">
        <is>
          <t>Hero ở large đã cao hơn, khoảng trống giữa chip và "Start quiz" giảm từ gần nửa màn còn khoảng 120pt. Còn khoảng trống nhỏ, chấp nhận được – độ tin cậy trung bình, Designer có thể confirm.</t>
        </is>
      </c>
      <c r="H18" s="8" t="inlineStr">
        <is>
          <t>Screenshot/Video: screens/01-hook-large.png</t>
        </is>
      </c>
    </row>
    <row r="19">
      <c r="A19" s="4" t="inlineStr">
        <is>
          <t>aura-tarot</t>
        </is>
      </c>
      <c r="B19" s="4" t="n">
        <v>4</v>
      </c>
      <c r="C19" s="4" t="inlineStr">
        <is>
          <t>Intro 2</t>
        </is>
      </c>
      <c r="D19" s="11" t="inlineStr">
        <is>
          <t>Medium</t>
        </is>
      </c>
      <c r="E19" s="8" t="inlineStr">
        <is>
          <t>[UI/UX][Intro 2] Hiển thị đồng thời 2 bộ đếm tiến trình khác nhau "1/10" và "1 OF 6"</t>
        </is>
      </c>
      <c r="F19" s="9" t="inlineStr">
        <is>
          <t>Fixed</t>
        </is>
      </c>
      <c r="G19" s="8" t="inlineStr">
        <is>
          <t>Tag "x OF 6" đã bỏ, chỉ còn bộ đếm "1/10"…"10/10" trên header kèm progress bar mới. Lưu ý brief #2–#7 vẫn ghi tag "1 of 6" – cần sync lại brief. Progress bar mới phát sinh bug N1, N2.</t>
        </is>
      </c>
      <c r="H19" s="8" t="inlineStr">
        <is>
          <t>Screenshot/Video: screens/02-energy_now-small.png, screens/07-crave-small.png, screens/12-name-small.png</t>
        </is>
      </c>
    </row>
    <row r="20">
      <c r="A20" s="4" t="inlineStr">
        <is>
          <t>aura-tarot</t>
        </is>
      </c>
      <c r="B20" s="4" t="n">
        <v>5</v>
      </c>
      <c r="C20" s="4" t="inlineStr">
        <is>
          <t>Intro 8</t>
        </is>
      </c>
      <c r="D20" s="10" t="inlineStr">
        <is>
          <t>Low</t>
        </is>
      </c>
      <c r="E20" s="8" t="inlineStr">
        <is>
          <t>[UI][Intro 8] Ảnh halo hiển thị dạng khối chữ nhật full-width, cạnh trên cắt cứng thay vì "round well"</t>
        </is>
      </c>
      <c r="F20" s="9" t="inlineStr">
        <is>
          <t>Fixed</t>
        </is>
      </c>
      <c r="G20" s="8" t="inlineStr">
        <is>
          <t>Ảnh halo Intro 8 đã nằm trong khung tròn mép mềm (fade), không còn cạnh trên cắt cứng; Intro 13 cũng đã fade mềm.</t>
        </is>
      </c>
      <c r="H20" s="8" t="inlineStr">
        <is>
          <t>Screenshot/Video: screens/08-bridge-small.png, screens/08-bridge-large.png, screens/13-loader-small.png</t>
        </is>
      </c>
    </row>
    <row r="21">
      <c r="A21" s="4" t="inlineStr">
        <is>
          <t>aura-tarot</t>
        </is>
      </c>
      <c r="B21" s="4" t="n">
        <v>6</v>
      </c>
      <c r="C21" s="4" t="inlineStr">
        <is>
          <t>Intro 9</t>
        </is>
      </c>
      <c r="D21" s="11" t="inlineStr">
        <is>
          <t>Medium</t>
        </is>
      </c>
      <c r="E21" s="8" t="inlineStr">
        <is>
          <t>[UI][Intro 9] Các orb màu chưa chọn bị cắt vuông 4 cạnh và có vệt tối hình lưỡi liềm</t>
        </is>
      </c>
      <c r="F21" s="12" t="inlineStr">
        <is>
          <t>Partly fixed</t>
        </is>
      </c>
      <c r="G21" s="8" t="inlineStr">
        <is>
          <t>Vệt tối lưỡi liềm đã gần như hết, nhưng 5 orb chưa chọn (Red, Amber, Green, Blue, Violet) vẫn bị cắt phẳng ở mép trái/phải/trên/dưới (thấy rõ vạch dọc hai bên và vệt sáng phẳng ở đáy orb), cả small và large. Orb Indigo đang chọn vẫn tròn đúng.</t>
        </is>
      </c>
      <c r="H21" s="8" t="inlineStr">
        <is>
          <t>Screenshot/Video: screens/09-color_pull-small.png, screens/09-color_pull-large.png</t>
        </is>
      </c>
    </row>
    <row r="22">
      <c r="A22" s="4" t="inlineStr">
        <is>
          <t>aura-tarot</t>
        </is>
      </c>
      <c r="B22" s="4" t="n">
        <v>7</v>
      </c>
      <c r="C22" s="4" t="inlineStr">
        <is>
          <t>Intro 11</t>
        </is>
      </c>
      <c r="D22" s="10" t="inlineStr">
        <is>
          <t>Low</t>
        </is>
      </c>
      <c r="E22" s="8" t="inlineStr">
        <is>
          <t>[UI/UX][Intro 11] Ba ô chọn Month / Day / Year không có icon dropdown</t>
        </is>
      </c>
      <c r="F22" s="9" t="inlineStr">
        <is>
          <t>Fixed</t>
        </is>
      </c>
      <c r="G22" s="8" t="inlineStr">
        <is>
          <t>Ba ô Month / Day / Year đã có chevron dropdown.</t>
        </is>
      </c>
      <c r="H22" s="8" t="inlineStr">
        <is>
          <t>Screenshot/Video: screens/11-birth_date-small.png, screens/11-birth_date-large.png</t>
        </is>
      </c>
    </row>
    <row r="23">
      <c r="A23" s="4" t="inlineStr">
        <is>
          <t>aura-tarot</t>
        </is>
      </c>
      <c r="B23" s="4" t="n">
        <v>8</v>
      </c>
      <c r="C23" s="4" t="inlineStr">
        <is>
          <t>Intro 17</t>
        </is>
      </c>
      <c r="D23" s="11" t="inlineStr">
        <is>
          <t>Medium</t>
        </is>
      </c>
      <c r="E23" s="8" t="inlineStr">
        <is>
          <t>[UI/UX][Intro 17] Tiêu đề các dòng bị khóa bị blur hoàn toàn, không đọc được</t>
        </is>
      </c>
      <c r="F23" s="9" t="inlineStr">
        <is>
          <t>Fixed</t>
        </is>
      </c>
      <c r="G23" s="8" t="inlineStr">
        <is>
          <t>Intro 17 hiển thị rõ "How the three connect" + icon khóa; Intro 19 hiển thị rõ 4 dòng khóa "How the three connect", "Your 30-day aura plan", "Your love guidance", "Your aura in each area of life".</t>
        </is>
      </c>
      <c r="H23" s="8" t="inlineStr">
        <is>
          <t>Screenshot/Video: screens/17-three_cards-small.png, screens/17-three_cards-large.png, screens/19-teaser-small-p2.png, screens/19-teaser-large.png</t>
        </is>
      </c>
    </row>
    <row r="24">
      <c r="A24" s="4" t="inlineStr">
        <is>
          <t>aura-tarot</t>
        </is>
      </c>
      <c r="B24" s="4" t="n">
        <v>9</v>
      </c>
      <c r="C24" s="4" t="inlineStr">
        <is>
          <t>Intro 19</t>
        </is>
      </c>
      <c r="D24" s="10" t="inlineStr">
        <is>
          <t>Low</t>
        </is>
      </c>
      <c r="E24" s="8" t="inlineStr">
        <is>
          <t>[UI][Intro 19] Câu link aura–card khác copy trong Spec</t>
        </is>
      </c>
      <c r="F24" s="9" t="inlineStr">
        <is>
          <t>Fixed</t>
        </is>
      </c>
      <c r="G24" s="8" t="inlineStr">
        <is>
          <t>Copy đã đúng brief: "Your Indigo aura leans toward The Empress." / "... leans toward The Tower."</t>
        </is>
      </c>
      <c r="H24" s="8" t="inlineStr">
        <is>
          <t>Screenshot/Video: screens/19-teaser-small-p1.png, screens/19-teaser-large.png</t>
        </is>
      </c>
    </row>
    <row r="25">
      <c r="A25" s="4" t="inlineStr">
        <is>
          <t>aura-tarot</t>
        </is>
      </c>
      <c r="B25" s="4" t="n">
        <v>10</v>
      </c>
      <c r="C25" s="4" t="inlineStr">
        <is>
          <t>Paywall 1</t>
        </is>
      </c>
      <c r="D25" s="11" t="inlineStr">
        <is>
          <t>Medium</t>
        </is>
      </c>
      <c r="E25" s="8" t="inlineStr">
        <is>
          <t>[UI][Paywall 1] Hero không hiển thị 3 card backs, có khung chữ nhật nhỏ lạc giữa ảnh</t>
        </is>
      </c>
      <c r="F25" s="9" t="inlineStr">
        <is>
          <t>Fixed</t>
        </is>
      </c>
      <c r="G25" s="8" t="inlineStr">
        <is>
          <t>Hero paywall đã hiển thị halo + 3 card backs, không còn khung chữ nhật nhỏ / vệt ngang.</t>
        </is>
      </c>
      <c r="H25" s="8" t="inlineStr">
        <is>
          <t>Screenshot/Video: screens/20-paywall-small-p1.png, screens/20-paywall-large-p1.png</t>
        </is>
      </c>
    </row>
    <row r="26">
      <c r="A26" s="4" t="inlineStr">
        <is>
          <t>aura-tarot</t>
        </is>
      </c>
      <c r="B26" s="4" t="n">
        <v>11</v>
      </c>
      <c r="C26" s="4" t="inlineStr">
        <is>
          <t>Paywall 1</t>
        </is>
      </c>
      <c r="D26" s="11" t="inlineStr">
        <is>
          <t>Medium</t>
        </is>
      </c>
      <c r="E26" s="8" t="inlineStr">
        <is>
          <t>[UI][Paywall 1] Màu halo trên hero không đổi theo màu aura kết quả</t>
        </is>
      </c>
      <c r="F26" s="9" t="inlineStr">
        <is>
          <t>Fixed</t>
        </is>
      </c>
      <c r="G26" s="8" t="inlineStr">
        <is>
          <t>Walk thật ra kết quả Red: hero paywall hiển thị halo đỏ/cam (chip "Your aura: Red"); deep-jump Indigo hiển thị halo tím-xanh.</t>
        </is>
      </c>
      <c r="H26" s="8" t="inlineStr">
        <is>
          <t>Screenshot/Video: screens/walk-end-paywall (paywall).png, screens/20-paywall-small-p1.png</t>
        </is>
      </c>
    </row>
    <row r="27">
      <c r="A27" s="4" t="inlineStr">
        <is>
          <t>aura-tarot</t>
        </is>
      </c>
      <c r="B27" s="4" t="n">
        <v>12</v>
      </c>
      <c r="C27" s="4" t="inlineStr">
        <is>
          <t>Paywall 1</t>
        </is>
      </c>
      <c r="D27" s="10" t="inlineStr">
        <is>
          <t>Low</t>
        </is>
      </c>
      <c r="E27" s="8" t="inlineStr">
        <is>
          <t>[UI][Paywall 1] Dòng "Due today" lặp chữ "today" ở giá trị</t>
        </is>
      </c>
      <c r="F27" s="9" t="inlineStr">
        <is>
          <t>Fixed</t>
        </is>
      </c>
      <c r="G27" s="8" t="inlineStr">
        <is>
          <t>Plan block hiển thị "Due today" / "$13.67", không còn lặp "today". Sticky bottom bar dùng nhãn "1 week, then monthly" + "$13.67 today" nên không lặp.</t>
        </is>
      </c>
      <c r="H27" s="8" t="inlineStr">
        <is>
          <t>Screenshot/Video: screens/20-paywall-small-p4.png, screens/20-paywall-large-p1.png</t>
        </is>
      </c>
    </row>
    <row r="28">
      <c r="A28" s="4" t="inlineStr">
        <is>
          <t>aura-tarot</t>
        </is>
      </c>
      <c r="B28" s="4" t="n">
        <v>13</v>
      </c>
      <c r="C28" s="4" t="inlineStr">
        <is>
          <t>Paywall 1</t>
        </is>
      </c>
      <c r="D28" s="7" t="inlineStr">
        <is>
          <t>High</t>
        </is>
      </c>
      <c r="E28" s="8" t="inlineStr">
        <is>
          <t>[UI][Paywall 1] Footer thiếu thông tin entity (tên pháp nhân)</t>
        </is>
      </c>
      <c r="F28" s="13" t="inlineStr">
        <is>
          <t>Cần PM</t>
        </is>
      </c>
      <c r="G28" s="8" t="inlineStr">
        <is>
          <t>Footer vẫn chỉ có "Terms of Use", "Privacy Policy", "Subscription terms", "Support: support@starlyn.co", "For entertainment purposes only." – chưa có tên pháp nhân. Đúng như dev báo, chờ PM cung cấp entity.</t>
        </is>
      </c>
      <c r="H28" s="8" t="inlineStr">
        <is>
          <t>Screenshot/Video: screens/20-paywall-small-p4.png, screens/20-paywall-large-p4.png</t>
        </is>
      </c>
    </row>
    <row r="29">
      <c r="A29" s="4" t="inlineStr">
        <is>
          <t>aura-tarot</t>
        </is>
      </c>
      <c r="B29" s="4" t="n">
        <v>14</v>
      </c>
      <c r="C29" s="4" t="inlineStr">
        <is>
          <t>Upsale 1</t>
        </is>
      </c>
      <c r="D29" s="11" t="inlineStr">
        <is>
          <t>Medium</t>
        </is>
      </c>
      <c r="E29" s="8" t="inlineStr">
        <is>
          <t>[UI][Upsale 1] Ảnh cover report là silhouette đen phẳng thay vì ảnh reveal-aura</t>
        </is>
      </c>
      <c r="F29" s="9" t="inlineStr">
        <is>
          <t>Fixed</t>
        </is>
      </c>
      <c r="G29" s="8" t="inlineStr">
        <is>
          <t>Cover card đã dùng ảnh reveal-aura (silhouette trong halo) dưới lớp fade tối, label "STARLYN REPORT" + "Chakra Balance Report" đọc rõ.</t>
        </is>
      </c>
      <c r="H29" s="8" t="inlineStr">
        <is>
          <t>Screenshot/Video: screens/21-report_upsell-small-p1.png, screens/21-report_upsell-large.png</t>
        </is>
      </c>
    </row>
    <row r="30">
      <c r="A30" s="4" t="inlineStr">
        <is>
          <t>aura-tarot</t>
        </is>
      </c>
      <c r="B30" s="4" t="n">
        <v>15</v>
      </c>
      <c r="C30" s="4" t="inlineStr">
        <is>
          <t>Download App</t>
        </is>
      </c>
      <c r="D30" s="11" t="inlineStr">
        <is>
          <t>Medium</t>
        </is>
      </c>
      <c r="E30" s="8" t="inlineStr">
        <is>
          <t>[UI][Download App] Icon trên badge "Download on the App Store" không phải logo Apple</t>
        </is>
      </c>
      <c r="F30" s="9" t="inlineStr">
        <is>
          <t>Fixed</t>
        </is>
      </c>
      <c r="G30" s="8" t="inlineStr">
        <is>
          <t>Badge "Download on the App Store" đã dùng logo Apple, badge "GET IT ON Google Play" dạng badge chính thức.</t>
        </is>
      </c>
      <c r="H30" s="8" t="inlineStr">
        <is>
          <t>Screenshot/Video: screens/22-get_app-small.png, screens/22-get_app-large.png</t>
        </is>
      </c>
    </row>
    <row r="31">
      <c r="A31" s="4" t="inlineStr">
        <is>
          <t>ex-compatibility</t>
        </is>
      </c>
      <c r="B31" s="4" t="n">
        <v>1</v>
      </c>
      <c r="C31" s="4" t="inlineStr">
        <is>
          <t>Intro 1</t>
        </is>
      </c>
      <c r="D31" s="7" t="inlineStr">
        <is>
          <t>High</t>
        </is>
      </c>
      <c r="E31" s="8" t="inlineStr">
        <is>
          <t>[UI/UX][Intro 1] "Terms of Use" và "Privacy Policy" trong microcopy hiển thị dạng text thường, không phải link</t>
        </is>
      </c>
      <c r="F31" s="9" t="inlineStr">
        <is>
          <t>Fixed</t>
        </is>
      </c>
      <c r="G31" s="8" t="inlineStr">
        <is>
          <t>"Terms of Use" / "Privacy Policy" ở Intro 1 (hook) và Intro 21 (email) đã gạch chân, đồng nhất với link footer Paywall 1. Không kiểm tra được href/tap target từ ảnh tĩnh (capture.json không báo tap target nhỏ).</t>
        </is>
      </c>
      <c r="H31" s="8" t="inlineStr">
        <is>
          <t>Screenshot/Video: screens/01-hook-small.png, screens/01-hook-large.png, screens/21-email-small.png, screens/21-email-large.png</t>
        </is>
      </c>
    </row>
    <row r="32">
      <c r="A32" s="4" t="inlineStr">
        <is>
          <t>ex-compatibility</t>
        </is>
      </c>
      <c r="B32" s="4" t="n">
        <v>2</v>
      </c>
      <c r="C32" s="4" t="inlineStr">
        <is>
          <t>Intro 2</t>
        </is>
      </c>
      <c r="D32" s="10" t="inlineStr">
        <is>
          <t>Low</t>
        </is>
      </c>
      <c r="E32" s="8" t="inlineStr">
        <is>
          <t>[UI][Intro 2] Header các màn câu hỏi chỉ có counter "n/14", không hiển thị progress bar</t>
        </is>
      </c>
      <c r="F32" s="9" t="inlineStr">
        <is>
          <t>Fixed</t>
        </is>
      </c>
      <c r="G32" s="8" t="inlineStr">
        <is>
          <t>Header đã có progress bar vàng dưới hàng back/logo/counter, tăng dần theo counter "1/14"…"14/14"; các màn không phải câu hỏi (Intro 4, 18, 20, 21) có progress bar không counter. Progress bar mới phát sinh bug N1.</t>
        </is>
      </c>
      <c r="H32" s="8" t="inlineStr">
        <is>
          <t>Screenshot/Video: screens/02-gender-small.png, screens/02-gender-large.png, screens/10-who_ended-small.png, screens/17-fate_2-small.png</t>
        </is>
      </c>
    </row>
    <row r="33">
      <c r="A33" s="4" t="inlineStr">
        <is>
          <t>ex-compatibility</t>
        </is>
      </c>
      <c r="B33" s="4" t="n">
        <v>3</v>
      </c>
      <c r="C33" s="4" t="inlineStr">
        <is>
          <t>Intro 6</t>
        </is>
      </c>
      <c r="D33" s="10" t="inlineStr">
        <is>
          <t>Low</t>
        </is>
      </c>
      <c r="E33" s="8" t="inlineStr">
        <is>
          <t>[UI][Intro 6] Thiếu line-art minh hoạ theo spec ở các màn nhập giờ/ngày sinh (clock-face, wheel thứ hai)</t>
        </is>
      </c>
      <c r="F33" s="9" t="inlineStr">
        <is>
          <t>Fixed</t>
        </is>
      </c>
      <c r="G33" s="8" t="inlineStr">
        <is>
          <t>Intro 6 có clock-face vàng với glyph cung hoàng đạo trên vành; Intro 8 có wheel thứ hai mờ (xanh) bên cạnh wheel vàng; Intro 9 có clock-face tông xanh phát sáng (đại diện chart người kia). Cách thể hiện "second wheel glows" ở #9 là clock-face xanh glow, không phải wheel – chấp nhận được, Designer có thể confirm.</t>
        </is>
      </c>
      <c r="H33" s="8" t="inlineStr">
        <is>
          <t>Screenshot/Video: screens/06-birth_time-small.png, screens/08-ex_birth_date-small.png, screens/09-ex_birth_time-small.png, screens/09-ex_birth_time-large.png</t>
        </is>
      </c>
    </row>
    <row r="34">
      <c r="A34" s="4" t="inlineStr">
        <is>
          <t>ex-compatibility</t>
        </is>
      </c>
      <c r="B34" s="4" t="n">
        <v>4</v>
      </c>
      <c r="C34" s="4" t="inlineStr">
        <is>
          <t>Intro 8</t>
        </is>
      </c>
      <c r="D34" s="10" t="inlineStr">
        <is>
          <t>Low</t>
        </is>
      </c>
      <c r="E34" s="8" t="inlineStr">
        <is>
          <t>[UI][Intro 8] Chip Sun sign của người kia dùng icon mặt trăng, khác icon mặt trời của chip Sun sign người dùng</t>
        </is>
      </c>
      <c r="F34" s="9" t="inlineStr">
        <is>
          <t>Fixed</t>
        </is>
      </c>
      <c r="G34" s="8" t="inlineStr">
        <is>
          <t>Chip "Libra" đã dùng icon mặt trời (tông xanh của người kia), cùng loại icon với chip "Taurus" ở Intro 5; Intro 14 cũng hiển thị 2 chip mặt trời.</t>
        </is>
      </c>
      <c r="H34" s="8" t="inlineStr">
        <is>
          <t>Screenshot/Video: screens/08-ex_birth_date-small.png, screens/05-birth_date-small.png, screens/14-charts_meet-small.png</t>
        </is>
      </c>
    </row>
    <row r="35">
      <c r="A35" s="4" t="inlineStr">
        <is>
          <t>ex-compatibility</t>
        </is>
      </c>
      <c r="B35" s="4" t="n">
        <v>5</v>
      </c>
      <c r="C35" s="4" t="inlineStr">
        <is>
          <t>Intro 14</t>
        </is>
      </c>
      <c r="D35" s="10" t="inlineStr">
        <is>
          <t>Low</t>
        </is>
      </c>
      <c r="E35" s="8" t="inlineStr">
        <is>
          <t>[UI][Intro 14] Thiếu sign chip dưới mỗi wheel ở màn "Taurus meets Libra"</t>
        </is>
      </c>
      <c r="F35" s="9" t="inlineStr">
        <is>
          <t>Fixed</t>
        </is>
      </c>
      <c r="G35" s="8" t="inlineStr">
        <is>
          <t>Hai chip "Taurus" (vàng) và "Libra" (xanh) đã hiện dưới cụm 2 wheel, trên headline. Chip xếp thành một hàng giữa chứ không nằm riêng dưới từng wheel – chấp nhận được, Designer có thể confirm. Ảnh chụp lúc ring ở 18% (đang chạy).</t>
        </is>
      </c>
      <c r="H35" s="8" t="inlineStr">
        <is>
          <t>Screenshot/Video: screens/14-charts_meet-small.png, screens/14-charts_meet-large.png</t>
        </is>
      </c>
    </row>
    <row r="36">
      <c r="A36" s="4" t="inlineStr">
        <is>
          <t>ex-compatibility</t>
        </is>
      </c>
      <c r="B36" s="4" t="n">
        <v>6</v>
      </c>
      <c r="C36" s="4" t="inlineStr">
        <is>
          <t>Intro 19</t>
        </is>
      </c>
      <c r="D36" s="10" t="inlineStr">
        <is>
          <t>Low</t>
        </is>
      </c>
      <c r="E36" s="8" t="inlineStr">
        <is>
          <t>[UI][Intro 19] Title loader "Comparing your two charts" nằm sát mép trên, nội dung dồn lên trên và để trống lớn phía dưới trên large</t>
        </is>
      </c>
      <c r="F36" s="9" t="inlineStr">
        <is>
          <t>Fixed</t>
        </is>
      </c>
      <c r="G36" s="8" t="inlineStr">
        <is>
          <t>Trên large toàn bộ cụm title + wheel + ring + 4 task row đã được căn giữa theo chiều dọc (title ở ~y 222pt, khoảng trống trên/dưới cân đối), đồng nhất với Intro 14. Trên small nội dung lấp gần đủ màn nên title vẫn ở gần đầu màn – hợp lý.</t>
        </is>
      </c>
      <c r="H36" s="8" t="inlineStr">
        <is>
          <t>Screenshot/Video: screens/19-loader-small.png, screens/19-loader-large.png, screens/14-charts_meet-large.png</t>
        </is>
      </c>
    </row>
    <row r="37">
      <c r="A37" s="4" t="inlineStr">
        <is>
          <t>ex-compatibility</t>
        </is>
      </c>
      <c r="B37" s="4" t="n">
        <v>7</v>
      </c>
      <c r="C37" s="4" t="inlineStr">
        <is>
          <t>Paywall 1</t>
        </is>
      </c>
      <c r="D37" s="7" t="inlineStr">
        <is>
          <t>High</t>
        </is>
      </c>
      <c r="E37" s="8" t="inlineStr">
        <is>
          <t>[UI][Paywall 1] Footer thiếu tên pháp nhân (entity) theo spec</t>
        </is>
      </c>
      <c r="F37" s="13" t="inlineStr">
        <is>
          <t>Cần PM</t>
        </is>
      </c>
      <c r="G37" s="8" t="inlineStr">
        <is>
          <t>Footer vẫn chỉ có "Terms of Use" · "Privacy Policy" · "Subscription terms" và "For entertainment purposes only.", chưa có tên pháp nhân. Đúng như dev báo, chờ PM cung cấp entity.</t>
        </is>
      </c>
      <c r="H37" s="8" t="inlineStr">
        <is>
          <t>Screenshot/Video: screens/22-paywall-small-p4.png, screens/22-paywall-large-p4.png</t>
        </is>
      </c>
    </row>
    <row r="38">
      <c r="A38" s="4" t="inlineStr">
        <is>
          <t>ex-compatibility</t>
        </is>
      </c>
      <c r="B38" s="4" t="n">
        <v>8</v>
      </c>
      <c r="C38" s="4" t="inlineStr">
        <is>
          <t>Paywall 1</t>
        </is>
      </c>
      <c r="D38" s="10" t="inlineStr">
        <is>
          <t>Low</t>
        </is>
      </c>
      <c r="E38" s="8" t="inlineStr">
        <is>
          <t>[UI][Paywall 1] Dòng "Due today" lặp chữ "today" ở giá trị "$13.67 today"</t>
        </is>
      </c>
      <c r="F38" s="9" t="inlineStr">
        <is>
          <t>Fixed</t>
        </is>
      </c>
      <c r="G38" s="8" t="inlineStr">
        <is>
          <t>Cả 2 plan block hiển thị "Due today" / "$13.67". Sticky bottom bar dùng "1 week, then monthly" + "$13.67 today" nên không lặp.</t>
        </is>
      </c>
      <c r="H38" s="8" t="inlineStr">
        <is>
          <t>Screenshot/Video: screens/22-paywall-small-p4.png, screens/22-paywall-large-p1.png, screens/22-paywall-small-p3.png</t>
        </is>
      </c>
    </row>
    <row r="39">
      <c r="A39" s="4" t="inlineStr">
        <is>
          <t>ex-compatibility</t>
        </is>
      </c>
      <c r="B39" s="4" t="n">
        <v>9</v>
      </c>
      <c r="C39" s="4" t="inlineStr">
        <is>
          <t>Download App</t>
        </is>
      </c>
      <c r="D39" s="11" t="inlineStr">
        <is>
          <t>Medium</t>
        </is>
      </c>
      <c r="E39" s="8" t="inlineStr">
        <is>
          <t>[UI][Download App] Badge App Store / Google Play dùng icon outline tự vẽ, không phải badge chính thức</t>
        </is>
      </c>
      <c r="F39" s="12" t="inlineStr">
        <is>
          <t>Partly fixed</t>
        </is>
      </c>
      <c r="G39" s="8" t="inlineStr">
        <is>
          <t>Badge "Download on the App Store" đã đúng dạng badge chính thức (nền đen, logo Apple đặc). Badge "GET IT ON Google Play" có layout giống badge chính thức nhưng logo Play vẫn là tam giác outline trắng đơn sắc, không phải logo Google Play nhiều màu như artwork chính thức. Phần còn lại hạ xuống Low. Khác với dev báo Fixed – độ tin cậy trung bình, cần Designer confirm.</t>
        </is>
      </c>
      <c r="H39" s="8" t="inlineStr">
        <is>
          <t>Screenshot/Video: screens/24-get_app-small.png, screens/24-get_app-large.png</t>
        </is>
      </c>
    </row>
    <row r="40">
      <c r="A40" s="4" t="inlineStr">
        <is>
          <t>marriage-compatibility</t>
        </is>
      </c>
      <c r="B40" s="4" t="n">
        <v>1</v>
      </c>
      <c r="C40" s="4" t="inlineStr">
        <is>
          <t>Intro 1</t>
        </is>
      </c>
      <c r="D40" s="7" t="inlineStr">
        <is>
          <t>High</t>
        </is>
      </c>
      <c r="E40" s="8" t="inlineStr">
        <is>
          <t>[UI/UX][Intro 1] "Terms of Use" và "Privacy Policy" trong microcopy hiển thị dạng text thường, không phải link</t>
        </is>
      </c>
      <c r="F40" s="9" t="inlineStr">
        <is>
          <t>Fixed</t>
        </is>
      </c>
      <c r="G40" s="8" t="inlineStr">
        <is>
          <t>"Terms of Use" / "Privacy Policy" ở Intro 1 (hook) và Intro 21 (email) đã gạch chân, đồng nhất với footer Paywall 1. Không kiểm tra được href/tap target từ ảnh tĩnh.</t>
        </is>
      </c>
      <c r="H40" s="8" t="inlineStr">
        <is>
          <t>Screenshot/Video: screens/01-hook-small.png, screens/01-hook-large.png, screens/21-email-small.png, screens/21-email-large.png</t>
        </is>
      </c>
    </row>
    <row r="41">
      <c r="A41" s="4" t="inlineStr">
        <is>
          <t>marriage-compatibility</t>
        </is>
      </c>
      <c r="B41" s="4" t="n">
        <v>2</v>
      </c>
      <c r="C41" s="4" t="inlineStr">
        <is>
          <t>Intro 1</t>
        </is>
      </c>
      <c r="D41" s="11" t="inlineStr">
        <is>
          <t>Medium</t>
        </is>
      </c>
      <c r="E41" s="8" t="inlineStr">
        <is>
          <t>[UI][Intro 1] Hero art chưa đúng visual spec: thiếu 2 nhẫn vàng (Intro 1) và vòm sáng (Intro 20)</t>
        </is>
      </c>
      <c r="F41" s="12" t="inlineStr">
        <is>
          <t>Partly fixed</t>
        </is>
      </c>
      <c r="G41" s="8" t="inlineStr">
        <is>
          <t>Đã có: 2 nhẫn vàng giữa 2 wheel ở hero Intro 1 và vòm sáng ở hero Intro 20 (đều là lớp vẽ chồng lên ảnh). Chưa: hero Paywall 1 và cover Upsale 1 vẫn là ảnh 2 wheel trơn, giống hệt funnel ex-compatibility (file img/hook-rings.jpg, result-window.jpg, paywall-hero.jpg trùng byte với ảnh của ex-compatibility; spec Notes ghi là placeholder chờ gen ảnh). Đồng ý với dev (Partly fixed).</t>
        </is>
      </c>
      <c r="H41" s="8" t="inlineStr">
        <is>
          <t>Screenshot/Video: screens/01-hook-small.png, screens/20-window_teaser-large.png, screens/22-paywall-small-p1.png, screens/23-report_upsell-small-p1.png</t>
        </is>
      </c>
    </row>
    <row r="42">
      <c r="A42" s="4" t="inlineStr">
        <is>
          <t>marriage-compatibility</t>
        </is>
      </c>
      <c r="B42" s="4" t="n">
        <v>3</v>
      </c>
      <c r="C42" s="4" t="inlineStr">
        <is>
          <t>Intro 2</t>
        </is>
      </c>
      <c r="D42" s="10" t="inlineStr">
        <is>
          <t>Low</t>
        </is>
      </c>
      <c r="E42" s="8" t="inlineStr">
        <is>
          <t>[UI][Intro 2] Header các màn câu hỏi chỉ có counter "n/14", không hiển thị progress bar</t>
        </is>
      </c>
      <c r="F42" s="9" t="inlineStr">
        <is>
          <t>Fixed</t>
        </is>
      </c>
      <c r="G42" s="8" t="inlineStr">
        <is>
          <t>Header đã có progress bar vàng dưới hàng back/logo/counter, tăng dần theo counter (nay là "n/13"); màn không phải câu hỏi (Intro 4, 18, 20, 21) có progress bar không counter. Progress bar mới phát sinh bug N1.</t>
        </is>
      </c>
      <c r="H42" s="8" t="inlineStr">
        <is>
          <t>Screenshot/Video: screens/02-status-small.png, screens/02-status-large.png, screens/12-home-small.png, screens/17-timeline-small.png</t>
        </is>
      </c>
    </row>
    <row r="43">
      <c r="A43" s="4" t="inlineStr">
        <is>
          <t>marriage-compatibility</t>
        </is>
      </c>
      <c r="B43" s="4" t="n">
        <v>4</v>
      </c>
      <c r="C43" s="4" t="inlineStr">
        <is>
          <t>Intro 6</t>
        </is>
      </c>
      <c r="D43" s="10" t="inlineStr">
        <is>
          <t>Low</t>
        </is>
      </c>
      <c r="E43" s="8" t="inlineStr">
        <is>
          <t>[UI][Intro 6] Thiếu line-art minh hoạ theo spec ở các màn nhập giờ/nơi/ngày sinh (clock-face, globe, wheel thứ hai)</t>
        </is>
      </c>
      <c r="F43" s="9" t="inlineStr">
        <is>
          <t>Fixed</t>
        </is>
      </c>
      <c r="G43" s="8" t="inlineStr">
        <is>
          <t>Intro 6 có clock-face vàng với glyph cung hoàng đạo; Intro 7 có globe line-art + pin vàng phía trên input; Intro 9 có wheel thứ hai mờ (xanh) bên cạnh wheel vàng.</t>
        </is>
      </c>
      <c r="H43" s="8" t="inlineStr">
        <is>
          <t>Screenshot/Video: screens/06-birth_time-small.png, screens/07-birth_place-small.png, screens/09-partner_birth_date-small.png</t>
        </is>
      </c>
    </row>
    <row r="44">
      <c r="A44" s="4" t="inlineStr">
        <is>
          <t>marriage-compatibility</t>
        </is>
      </c>
      <c r="B44" s="4" t="n">
        <v>5</v>
      </c>
      <c r="C44" s="4" t="inlineStr">
        <is>
          <t>Intro 8</t>
        </is>
      </c>
      <c r="D44" s="7" t="inlineStr">
        <is>
          <t>High</t>
        </is>
      </c>
      <c r="E44" s="8" t="inlineStr">
        <is>
          <t>[Logic][Intro 8] Step counter nhảy cóc một bước và tính cả màn bị skip theo branch</t>
        </is>
      </c>
      <c r="F44" s="9" t="inlineStr">
        <is>
          <t>Fixed</t>
        </is>
      </c>
      <c r="G44" s="8" t="inlineStr">
        <is>
          <t>Tổng đã là 13 (đúng số câu mỗi branch). Branch Dating (data deep-jump): birth_place "5/13" → partner_birth_date "6/13" → name "7/13" → … → timeline "13/13", không nhảy số. Branch Single (walk.path: birth_place → partner_wish → name, không qua partner_birth_date, đi tới paywall không lỗi): screenshot partner_wish chụp ở state Dating nên màn này là off-branch và không hiện counter; theo code `qn()` (bỏ #9 với Single) thì partner_wish = 6/13, name = 7/13. Counter của partner_wish trong branch Single chưa thấy trực tiếp trên ảnh – độ tin cậy trung bình.</t>
        </is>
      </c>
      <c r="H44" s="8" t="inlineStr">
        <is>
          <t>Screenshot/Video: screens/07-birth_place-small.png, screens/08-partner_wish-small.png, screens/09-partner_birth_date-small.png, screens/10-name-small.png, screens/17-timeline-small.png</t>
        </is>
      </c>
    </row>
    <row r="45">
      <c r="A45" s="4" t="inlineStr">
        <is>
          <t>marriage-compatibility</t>
        </is>
      </c>
      <c r="B45" s="4" t="n">
        <v>6</v>
      </c>
      <c r="C45" s="4" t="inlineStr">
        <is>
          <t>Intro 9</t>
        </is>
      </c>
      <c r="D45" s="10" t="inlineStr">
        <is>
          <t>Low</t>
        </is>
      </c>
      <c r="E45" s="8" t="inlineStr">
        <is>
          <t>[UI][Intro 9] Chip Sun sign của người kia dùng icon mặt trăng, khác icon mặt trời của chip Sun sign người dùng</t>
        </is>
      </c>
      <c r="F45" s="9" t="inlineStr">
        <is>
          <t>Fixed</t>
        </is>
      </c>
      <c r="G45" s="8" t="inlineStr">
        <is>
          <t>Chip "Libra" đã dùng icon mặt trời (tông xanh), cùng loại icon với chip "Taurus" ở Intro 5.</t>
        </is>
      </c>
      <c r="H45" s="8" t="inlineStr">
        <is>
          <t>Screenshot/Video: screens/09-partner_birth_date-small.png, screens/05-birth_date-small.png</t>
        </is>
      </c>
    </row>
    <row r="46">
      <c r="A46" s="4" t="inlineStr">
        <is>
          <t>marriage-compatibility</t>
        </is>
      </c>
      <c r="B46" s="4" t="n">
        <v>7</v>
      </c>
      <c r="C46" s="4" t="inlineStr">
        <is>
          <t>Intro 10</t>
        </is>
      </c>
      <c r="D46" s="10" t="inlineStr">
        <is>
          <t>Low</t>
        </is>
      </c>
      <c r="E46" s="8" t="inlineStr">
        <is>
          <t>[UI][Intro 10] Input "First name" hiển thị nền tối, khác "light input" theo spec</t>
        </is>
      </c>
      <c r="F46" s="9" t="inlineStr">
        <is>
          <t>Fixed</t>
        </is>
      </c>
      <c r="G46" s="8" t="inlineStr">
        <is>
          <t>Ô "First name" đã dùng nền sáng (text "test" màu tối), đồng nhất với ô email Intro 21. Gold caret không thấy được trên ảnh tĩnh (input không focus).</t>
        </is>
      </c>
      <c r="H46" s="8" t="inlineStr">
        <is>
          <t>Screenshot/Video: screens/10-name-small.png, screens/10-name-large.png, screens/21-email-small.png</t>
        </is>
      </c>
    </row>
    <row r="47">
      <c r="A47" s="4" t="inlineStr">
        <is>
          <t>marriage-compatibility</t>
        </is>
      </c>
      <c r="B47" s="4" t="n">
        <v>8</v>
      </c>
      <c r="C47" s="4" t="inlineStr">
        <is>
          <t>Intro 19</t>
        </is>
      </c>
      <c r="D47" s="10" t="inlineStr">
        <is>
          <t>Low</t>
        </is>
      </c>
      <c r="E47" s="8" t="inlineStr">
        <is>
          <t>[UI][Intro 19] Title loader "Finding your marriage window" nằm sát mép trên, nội dung dồn lên trên và để trống lớn phía dưới trên large</t>
        </is>
      </c>
      <c r="F47" s="9" t="inlineStr">
        <is>
          <t>Fixed</t>
        </is>
      </c>
      <c r="G47" s="8" t="inlineStr">
        <is>
          <t>Trên large cụm title + wheel + ring + 4 task row đã căn giữa theo chiều dọc, khoảng trống trên/dưới cân đối; trên small nội dung lấp gần đủ màn.</t>
        </is>
      </c>
      <c r="H47" s="8" t="inlineStr">
        <is>
          <t>Screenshot/Video: screens/19-loader-small.png, screens/19-loader-large.png</t>
        </is>
      </c>
    </row>
    <row r="48">
      <c r="A48" s="4" t="inlineStr">
        <is>
          <t>marriage-compatibility</t>
        </is>
      </c>
      <c r="B48" s="4" t="n">
        <v>9</v>
      </c>
      <c r="C48" s="4" t="inlineStr">
        <is>
          <t>Paywall 1</t>
        </is>
      </c>
      <c r="D48" s="7" t="inlineStr">
        <is>
          <t>High</t>
        </is>
      </c>
      <c r="E48" s="8" t="inlineStr">
        <is>
          <t>[UI][Paywall 1] Footer thiếu tên pháp nhân (entity) theo spec</t>
        </is>
      </c>
      <c r="F48" s="13" t="inlineStr">
        <is>
          <t>Cần PM</t>
        </is>
      </c>
      <c r="G48" s="8" t="inlineStr">
        <is>
          <t>Footer vẫn chỉ có "Terms of Use" · "Privacy Policy" · "Subscription terms" và "For entertainment purposes only.", chưa có tên pháp nhân. Đúng như dev báo, chờ PM cung cấp entity.</t>
        </is>
      </c>
      <c r="H48" s="8" t="inlineStr">
        <is>
          <t>Screenshot/Video: screens/22-paywall-small-p4.png, screens/22-paywall-large-p4.png</t>
        </is>
      </c>
    </row>
    <row r="49">
      <c r="A49" s="4" t="inlineStr">
        <is>
          <t>marriage-compatibility</t>
        </is>
      </c>
      <c r="B49" s="4" t="n">
        <v>10</v>
      </c>
      <c r="C49" s="4" t="inlineStr">
        <is>
          <t>Paywall 1</t>
        </is>
      </c>
      <c r="D49" s="10" t="inlineStr">
        <is>
          <t>Low</t>
        </is>
      </c>
      <c r="E49" s="8" t="inlineStr">
        <is>
          <t>[UI][Paywall 1] Dòng "Due today" lặp chữ "today" ở giá trị "$13.67 today"</t>
        </is>
      </c>
      <c r="F49" s="9" t="inlineStr">
        <is>
          <t>Fixed</t>
        </is>
      </c>
      <c r="G49" s="8" t="inlineStr">
        <is>
          <t>Cả 2 plan block hiển thị "Due today" / "$13.67". Sticky bottom bar dùng "1 week, then monthly" + "$13.67 today" nên không lặp.</t>
        </is>
      </c>
      <c r="H49" s="8" t="inlineStr">
        <is>
          <t>Screenshot/Video: screens/22-paywall-small-p4.png, screens/22-paywall-large-p1.png, screens/22-paywall-small-p3.png</t>
        </is>
      </c>
    </row>
    <row r="50">
      <c r="A50" s="4" t="inlineStr">
        <is>
          <t>marriage-compatibility</t>
        </is>
      </c>
      <c r="B50" s="4" t="n">
        <v>11</v>
      </c>
      <c r="C50" s="4" t="inlineStr">
        <is>
          <t>Download App</t>
        </is>
      </c>
      <c r="D50" s="11" t="inlineStr">
        <is>
          <t>Medium</t>
        </is>
      </c>
      <c r="E50" s="8" t="inlineStr">
        <is>
          <t>[UI][Download App] Badge App Store / Google Play dùng icon outline tự vẽ, không phải badge chính thức</t>
        </is>
      </c>
      <c r="F50" s="12" t="inlineStr">
        <is>
          <t>Partly fixed</t>
        </is>
      </c>
      <c r="G50" s="8" t="inlineStr">
        <is>
          <t>Badge "Download on the App Store" đã đúng dạng badge chính thức. Badge "GET IT ON Google Play" có layout giống badge chính thức nhưng logo Play vẫn là tam giác outline trắng đơn sắc, không phải logo Google Play nhiều màu như artwork chính thức. Phần còn lại hạ xuống Low. Khác với dev báo Fixed – độ tin cậy trung bình, cần Designer confirm.</t>
        </is>
      </c>
      <c r="H50" s="8" t="inlineStr">
        <is>
          <t>Screenshot/Video: screens/24-get_app-small.png, screens/24-get_app-large.png</t>
        </is>
      </c>
    </row>
    <row r="51">
      <c r="A51" s="4" t="inlineStr">
        <is>
          <t>moon-reading</t>
        </is>
      </c>
      <c r="B51" s="4" t="n">
        <v>1</v>
      </c>
      <c r="C51" s="4" t="inlineStr">
        <is>
          <t>Intro 1</t>
        </is>
      </c>
      <c r="D51" s="7" t="inlineStr">
        <is>
          <t>High</t>
        </is>
      </c>
      <c r="E51" s="8" t="inlineStr">
        <is>
          <t>[UI/UX][Intro 1] Link "Terms" và "Privacy Policy" có tap target quá nhỏ</t>
        </is>
      </c>
      <c r="F51" s="9" t="inlineStr">
        <is>
          <t>Fixed</t>
        </is>
      </c>
      <c r="G51" s="8" t="inlineStr">
        <is>
          <t>- Auto-check trong capture.json không còn báo tap target nhỏ cho link "Terms"/"Privacy Policy" ở Intro 1 và Intro 20 (cả 2 viewport); vùng bấm đã được nới (text link nhìn tách xa hơn, xem bug mới N1).</t>
        </is>
      </c>
      <c r="H51" s="8" t="inlineStr">
        <is>
          <t>Screenshot/Video: screens/01-1-small.png, screens/01-1-large.png, screens/20-20-small.png, screens/20-20-large.png</t>
        </is>
      </c>
    </row>
    <row r="52">
      <c r="A52" s="4" t="inlineStr">
        <is>
          <t>moon-reading</t>
        </is>
      </c>
      <c r="B52" s="4" t="n">
        <v>2</v>
      </c>
      <c r="C52" s="4" t="inlineStr">
        <is>
          <t>Intro 1</t>
        </is>
      </c>
      <c r="D52" s="11" t="inlineStr">
        <is>
          <t>Medium</t>
        </is>
      </c>
      <c r="E52" s="8" t="inlineStr">
        <is>
          <t>[UI][Responsive][Intro 1] Ảnh background không phủ hết màn hình trên viewport large</t>
        </is>
      </c>
      <c r="F52" s="9" t="inlineStr">
        <is>
          <t>Fixed</t>
        </is>
      </c>
      <c r="G52" s="8" t="inlineStr">
        <is>
          <t>- Trên 430x932 ảnh nền đã phủ full chiều ngang, không còn dải tối bên phải, headline không còn đè lên mặt nhân vật. Khoảng 1/3 dưới vẫn là gradient tối mờ dần từ ảnh (nhìn như fade chủ đích) – độ tin cậy trung bình, Designer có thể muốn confirm lại.</t>
        </is>
      </c>
      <c r="H52" s="8" t="inlineStr">
        <is>
          <t>Screenshot/Video: screens/01-1-large.png, screens/01-1-small.png</t>
        </is>
      </c>
    </row>
    <row r="53">
      <c r="A53" s="4" t="inlineStr">
        <is>
          <t>moon-reading</t>
        </is>
      </c>
      <c r="B53" s="4" t="n">
        <v>3</v>
      </c>
      <c r="C53" s="4" t="inlineStr">
        <is>
          <t>Intro 1</t>
        </is>
      </c>
      <c r="D53" s="11" t="inlineStr">
        <is>
          <t>Medium</t>
        </is>
      </c>
      <c r="E53" s="8" t="inlineStr">
        <is>
          <t>[UI][Intro 1] Mặt trăng hero đè lên mặt trăng có sẵn trong ảnh nền</t>
        </is>
      </c>
      <c r="F53" s="9" t="inlineStr">
        <is>
          <t>Fixed</t>
        </is>
      </c>
      <c r="G53" s="8" t="inlineStr">
        <is>
          <t>- Chỉ còn 1 mặt trăng hero (có halo), không còn thấy mặt trăng vẽ sẵn trong ảnh nền chồng lên trên cả 2 viewport.</t>
        </is>
      </c>
      <c r="H53" s="8" t="inlineStr">
        <is>
          <t>Screenshot/Video: screens/01-1-small.png, screens/01-1-large.png</t>
        </is>
      </c>
    </row>
    <row r="54">
      <c r="A54" s="4" t="inlineStr">
        <is>
          <t>moon-reading</t>
        </is>
      </c>
      <c r="B54" s="4" t="n">
        <v>4</v>
      </c>
      <c r="C54" s="4" t="inlineStr">
        <is>
          <t>Intro 2</t>
        </is>
      </c>
      <c r="D54" s="11" t="inlineStr">
        <is>
          <t>Medium</t>
        </is>
      </c>
      <c r="E54" s="8" t="inlineStr">
        <is>
          <t>[UI][Responsive][Intro 2] List bị cắt ngang bởi vùng CTA ở first view trên màn nhỏ</t>
        </is>
      </c>
      <c r="F54" s="9" t="inlineStr">
        <is>
          <t>Fixed</t>
        </is>
      </c>
      <c r="G54" s="8" t="inlineStr">
        <is>
          <t>- Intro 2 small: card 3 dòng hiển thị trọn vẹn ("A ritual that fits your day" thấy đủ) trên CTA. Intro 14 small: option "Just me" hiển thị đủ, không còn bị "Tap one to continue" cắt.</t>
        </is>
      </c>
      <c r="H54" s="8" t="inlineStr">
        <is>
          <t>Screenshot/Video: screens/02-2-small.png, screens/14-14-small.png</t>
        </is>
      </c>
    </row>
    <row r="55">
      <c r="A55" s="4" t="inlineStr">
        <is>
          <t>moon-reading</t>
        </is>
      </c>
      <c r="B55" s="4" t="n">
        <v>5</v>
      </c>
      <c r="C55" s="4" t="inlineStr">
        <is>
          <t>Intro 7</t>
        </is>
      </c>
      <c r="D55" s="11" t="inlineStr">
        <is>
          <t>Medium</t>
        </is>
      </c>
      <c r="E55" s="8" t="inlineStr">
        <is>
          <t>[UI][Intro 7] Ô "Time of birth" hiển thị 2 icon đồng hồ</t>
        </is>
      </c>
      <c r="F55" s="9" t="inlineStr">
        <is>
          <t>Fixed</t>
        </is>
      </c>
      <c r="G55" s="8" t="inlineStr">
        <is>
          <t>- Ô "Time of birth" chỉ còn 1 icon đồng hồ bên trái, không còn icon picker của trình duyệt bên phải.</t>
        </is>
      </c>
      <c r="H55" s="8" t="inlineStr">
        <is>
          <t>Screenshot/Video: screens/07-7-small.png, screens/07-7-large.png</t>
        </is>
      </c>
    </row>
    <row r="56">
      <c r="A56" s="4" t="inlineStr">
        <is>
          <t>moon-reading</t>
        </is>
      </c>
      <c r="B56" s="4" t="n">
        <v>6</v>
      </c>
      <c r="C56" s="4" t="inlineStr">
        <is>
          <t>Intro 8</t>
        </is>
      </c>
      <c r="D56" s="11" t="inlineStr">
        <is>
          <t>Medium</t>
        </is>
      </c>
      <c r="E56" s="8" t="inlineStr">
        <is>
          <t>[UI][Intro 8] Bản đồ chấm bị cắt ở viền trên card, icon mặt trăng đè lên bản đồ</t>
        </is>
      </c>
      <c r="F56" s="9" t="inlineStr">
        <is>
          <t>Fixed</t>
        </is>
      </c>
      <c r="G56" s="8" t="inlineStr">
        <is>
          <t>- Bản đồ chấm nằm gọn trong card (có khoảng đệm trên), crescent đã đưa ra phía trên card, không đè lên bản đồ; có pin vị trí trên bản đồ.</t>
        </is>
      </c>
      <c r="H56" s="8" t="inlineStr">
        <is>
          <t>Screenshot/Video: screens/08-8-small.png, screens/08-8-large.png</t>
        </is>
      </c>
    </row>
    <row r="57">
      <c r="A57" s="4" t="inlineStr">
        <is>
          <t>moon-reading</t>
        </is>
      </c>
      <c r="B57" s="4" t="n">
        <v>7</v>
      </c>
      <c r="C57" s="4" t="inlineStr">
        <is>
          <t>Intro 16</t>
        </is>
      </c>
      <c r="D57" s="11" t="inlineStr">
        <is>
          <t>Medium</t>
        </is>
      </c>
      <c r="E57" s="8" t="inlineStr">
        <is>
          <t>[UI][Responsive][Intro 16] Màn nhỏ không hiển thị sample push trên lock-screen mock</t>
        </is>
      </c>
      <c r="F57" s="9" t="inlineStr">
        <is>
          <t>Fixed</t>
        </is>
      </c>
      <c r="G57" s="8" t="inlineStr">
        <is>
          <t>- Trên 375x667 lock-screen mock đã hiển thị sample push "STARLYN · now – Full Moon in Taurus tonight, test. Your 5-minute release ritual is ready."</t>
        </is>
      </c>
      <c r="H57" s="8" t="inlineStr">
        <is>
          <t>Screenshot/Video: screens/16-16-small.png, screens/16-16-large.png</t>
        </is>
      </c>
    </row>
    <row r="58">
      <c r="A58" s="4" t="inlineStr">
        <is>
          <t>moon-reading</t>
        </is>
      </c>
      <c r="B58" s="4" t="n">
        <v>8</v>
      </c>
      <c r="C58" s="4" t="inlineStr">
        <is>
          <t>Intro 18</t>
        </is>
      </c>
      <c r="D58" s="10" t="inlineStr">
        <is>
          <t>Low</t>
        </is>
      </c>
      <c r="E58" s="8" t="inlineStr">
        <is>
          <t>[UI][Intro 18] Headline sát mép trên màn hình, không có khoảng cách top</t>
        </is>
      </c>
      <c r="F58" s="9" t="inlineStr">
        <is>
          <t>Fixed</t>
        </is>
      </c>
      <c r="G58" s="8" t="inlineStr">
        <is>
          <t>- Headline Intro 18 "test, your Moon is Libra" và Intro 19 "Your moon month, mapped" đã có khoảng cách top tương đương vị trí headline ở các màn quiz.</t>
        </is>
      </c>
      <c r="H58" s="8" t="inlineStr">
        <is>
          <t>Screenshot/Video: screens/18-18-small.png, screens/18-18-large.png, screens/19-19-small-p1.png, screens/19-19-large.png</t>
        </is>
      </c>
    </row>
    <row r="59">
      <c r="A59" s="4" t="inlineStr">
        <is>
          <t>moon-reading</t>
        </is>
      </c>
      <c r="B59" s="4" t="n">
        <v>9</v>
      </c>
      <c r="C59" s="4" t="inlineStr">
        <is>
          <t>Intro 18</t>
        </is>
      </c>
      <c r="D59" s="10" t="inlineStr">
        <is>
          <t>Low</t>
        </is>
      </c>
      <c r="E59" s="8" t="inlineStr">
        <is>
          <t>[UI/UX][Intro 18] Câu "you feel through the people around you" bị lặp 3 lần</t>
        </is>
      </c>
      <c r="F59" s="12" t="inlineStr">
        <is>
          <t>Partly fixed</t>
        </is>
      </c>
      <c r="G59" s="8" t="inlineStr">
        <is>
          <t>- Đã bỏ subtitle lặp trong card và lỗi chữ thường đầu câu; card giờ là "Moon in Libra" + 3 dòng Feel/Soothe/Drain. Nhưng câu dưới card "Moon in Libra — you feel through the people around you." vẫn lặp nguyên dòng Feel "through the people around you" (3 lần còn 2). Spec có cả card 3 dòng lẫn câu mẫu nên phần còn lại là copy – cần PM/Designer confirm có chấp nhận lặp hay đổi câu mẫu. Hạ Severity từ Medium xuống Low. Khớp với status Partly fixed dev báo.</t>
        </is>
      </c>
      <c r="H59" s="8" t="inlineStr">
        <is>
          <t>Screenshot/Video: screens/18-18-small.png, screens/18-18-large.png</t>
        </is>
      </c>
    </row>
    <row r="60">
      <c r="A60" s="4" t="inlineStr">
        <is>
          <t>moon-reading</t>
        </is>
      </c>
      <c r="B60" s="4" t="n">
        <v>10</v>
      </c>
      <c r="C60" s="4" t="inlineStr">
        <is>
          <t>Intro 18</t>
        </is>
      </c>
      <c r="D60" s="7" t="inlineStr">
        <is>
          <t>High</t>
        </is>
      </c>
      <c r="E60" s="8" t="inlineStr">
        <is>
          <t>[Logic][Intro 18] Birth phase hiển thị khác với Intro 6 cho cùng ngày sinh</t>
        </is>
      </c>
      <c r="F60" s="9" t="inlineStr">
        <is>
          <t>Fixed</t>
        </is>
      </c>
      <c r="G60" s="8" t="inlineStr">
        <is>
          <t>- Intro 6 và Intro 18 cùng hiển thị "Born under a Waxing Crescent" cho "August 12, 1994"; ảnh mặt trăng ở Intro 6 cũng khớp crescent.</t>
        </is>
      </c>
      <c r="H60" s="8" t="inlineStr">
        <is>
          <t>Screenshot/Video: screens/06-6-small.png, screens/18-18-small.png</t>
        </is>
      </c>
    </row>
    <row r="61">
      <c r="A61" s="4" t="inlineStr">
        <is>
          <t>moon-reading</t>
        </is>
      </c>
      <c r="B61" s="4" t="n">
        <v>11</v>
      </c>
      <c r="C61" s="4" t="inlineStr">
        <is>
          <t>Paywall 1</t>
        </is>
      </c>
      <c r="D61" s="7" t="inlineStr">
        <is>
          <t>High</t>
        </is>
      </c>
      <c r="E61" s="8" t="inlineStr">
        <is>
          <t>[UI/UX][Responsive][Paywall 1] Màn nhỏ không thấy CTA nào ở first view</t>
        </is>
      </c>
      <c r="F61" s="9" t="inlineStr">
        <is>
          <t>Fixed</t>
        </is>
      </c>
      <c r="G61" s="8" t="inlineStr">
        <is>
          <t>- Trên 375x667 first view đã có sticky bottom bar "1 week, then monthly – $13.67 today" + button "Unlock my rituals" ngay khi plan block chỉ lộ một phần.</t>
        </is>
      </c>
      <c r="H61" s="8" t="inlineStr">
        <is>
          <t>Screenshot/Video: screens/21-21-small-p1.png, screens/21-21-large-p1.png</t>
        </is>
      </c>
    </row>
    <row r="62">
      <c r="A62" s="4" t="inlineStr">
        <is>
          <t>moon-reading</t>
        </is>
      </c>
      <c r="B62" s="4" t="n">
        <v>12</v>
      </c>
      <c r="C62" s="4" t="inlineStr">
        <is>
          <t>Paywall 1</t>
        </is>
      </c>
      <c r="D62" s="11" t="inlineStr">
        <is>
          <t>Medium</t>
        </is>
      </c>
      <c r="E62" s="8" t="inlineStr">
        <is>
          <t>[UI][Paywall 1] Sticky bar trong suốt, text bên dưới lộ ra/chồng lên nội dung</t>
        </is>
      </c>
      <c r="F62" s="9" t="inlineStr">
        <is>
          <t>Fixed</t>
        </is>
      </c>
      <c r="G62" s="8" t="inlineStr">
        <is>
          <t>- Sticky bottom bar đã có nền đặc, FAQ "Do I need candles or supplies?" không còn chồng chữ; brand bar cũng có nền đặc, nội dung phía sau chỉ bị che (không lộ mờ).</t>
        </is>
      </c>
      <c r="H62" s="8" t="inlineStr">
        <is>
          <t>Screenshot/Video: screens/21-21-small-p2.png, screens/21-21-small-p3.png, screens/21-21-large-p2.png</t>
        </is>
      </c>
    </row>
    <row r="63">
      <c r="A63" s="4" t="inlineStr">
        <is>
          <t>moon-reading</t>
        </is>
      </c>
      <c r="B63" s="4" t="n">
        <v>13</v>
      </c>
      <c r="C63" s="4" t="inlineStr">
        <is>
          <t>Download App</t>
        </is>
      </c>
      <c r="D63" s="10" t="inlineStr">
        <is>
          <t>Low</t>
        </is>
      </c>
      <c r="E63" s="8" t="inlineStr">
        <is>
          <t>[UI][Download App] Badge "Download on the App Store" dùng icon không phải logo Apple</t>
        </is>
      </c>
      <c r="F63" s="12" t="inlineStr">
        <is>
          <t>Partly fixed</t>
        </is>
      </c>
      <c r="G63" s="8" t="inlineStr">
        <is>
          <t>- Badge App Store đã dùng logo Apple chính thức. Badge Google Play vẫn là icon tam giác play outline trắng (đơn sắc), không phải logo Google Play nhiều màu như badge chính thức – bug cũ có nêu cả phần này. Dev báo Fixed, QA đánh Partly fixed (độ tin cậy trung bình, cần Designer confirm có chấp nhận badge đơn sắc). Hạ Severity xuống Low.</t>
        </is>
      </c>
      <c r="H63" s="8" t="inlineStr">
        <is>
          <t>Screenshot/Video: screens/23-23-small.png, screens/23-23-large.png</t>
        </is>
      </c>
    </row>
    <row r="64">
      <c r="A64" s="4" t="inlineStr">
        <is>
          <t>palm-reading</t>
        </is>
      </c>
      <c r="B64" s="4" t="n">
        <v>1</v>
      </c>
      <c r="C64" s="4" t="inlineStr">
        <is>
          <t>Intro 1</t>
        </is>
      </c>
      <c r="D64" s="7" t="inlineStr">
        <is>
          <t>High</t>
        </is>
      </c>
      <c r="E64" s="8" t="inlineStr">
        <is>
          <t>[UI/UX][Intro 1] Link "Terms of Use" / "Privacy Policy" có tap target quá nhỏ</t>
        </is>
      </c>
      <c r="F64" s="9" t="inlineStr">
        <is>
          <t>Fixed</t>
        </is>
      </c>
      <c r="G64" s="8" t="inlineStr">
        <is>
          <t>- Auto-check trong capture.json không còn báo tap target nhỏ cho "Terms of Use"/"Privacy Policy" ở Hook và Email (cả 2 viewport); hiển thị text vẫn bình thường.</t>
        </is>
      </c>
      <c r="H64" s="8" t="inlineStr">
        <is>
          <t>Screenshot/Video: screens/01-hook-small.png, screens/01-hook-large.png, screens/20-email-small.png, screens/20-email-large.png</t>
        </is>
      </c>
    </row>
    <row r="65">
      <c r="A65" s="4" t="inlineStr">
        <is>
          <t>palm-reading</t>
        </is>
      </c>
      <c r="B65" s="4" t="n">
        <v>2</v>
      </c>
      <c r="C65" s="4" t="inlineStr">
        <is>
          <t>Intro 6</t>
        </is>
      </c>
      <c r="D65" s="10" t="inlineStr">
        <is>
          <t>Low</t>
        </is>
      </c>
      <c r="E65" s="8" t="inlineStr">
        <is>
          <t>[UI/UX][Intro 6] 3 ô Month / Day / Year không có icon dropdown để nhận biết là select</t>
        </is>
      </c>
      <c r="F65" s="9" t="inlineStr">
        <is>
          <t>Fixed</t>
        </is>
      </c>
      <c r="G65" s="8" t="inlineStr">
        <is>
          <t>- 3 ô "May" / "14" / "1994" đã có chevron dropdown bên phải.</t>
        </is>
      </c>
      <c r="H65" s="8" t="inlineStr">
        <is>
          <t>Screenshot/Video: screens/06-dob-small.png, screens/06-dob-large.png</t>
        </is>
      </c>
    </row>
    <row r="66">
      <c r="A66" s="4" t="inlineStr">
        <is>
          <t>palm-reading</t>
        </is>
      </c>
      <c r="B66" s="4" t="n">
        <v>3</v>
      </c>
      <c r="C66" s="4" t="inlineStr">
        <is>
          <t>Intro 8</t>
        </is>
      </c>
      <c r="D66" s="10" t="inlineStr">
        <is>
          <t>Low</t>
        </is>
      </c>
      <c r="E66" s="8" t="inlineStr">
        <is>
          <t>[UI][Intro 8] Hình minh họa bàn tay không hiển thị đủ 5 đường chỉ tay theo legend</t>
        </is>
      </c>
      <c r="F66" s="9" t="inlineStr">
        <is>
          <t>Fixed</t>
        </is>
      </c>
      <c r="G66" s="8" t="inlineStr">
        <is>
          <t>- Hình bàn tay hiển thị đủ 5 đường đúng màu legend: Heart (hồng), Head (xanh dương), Life (xanh lá), Fate &amp; money (vàng), Marriage (tím) ở cả small và large.</t>
        </is>
      </c>
      <c r="H66" s="8" t="inlineStr">
        <is>
          <t>Screenshot/Video: screens/08-palm_intro-small.png, screens/08-palm_intro-large.png</t>
        </is>
      </c>
    </row>
    <row r="67">
      <c r="A67" s="4" t="inlineStr">
        <is>
          <t>palm-reading</t>
        </is>
      </c>
      <c r="B67" s="4" t="n">
        <v>4</v>
      </c>
      <c r="C67" s="4" t="inlineStr">
        <is>
          <t>Intro 18</t>
        </is>
      </c>
      <c r="D67" s="11" t="inlineStr">
        <is>
          <t>Medium</t>
        </is>
      </c>
      <c r="E67" s="8" t="inlineStr">
        <is>
          <t>[UI][Intro 18] Chấm vàng đầu ngón tay và đường chỉ tay không khớp vị trí bàn tay trên ảnh</t>
        </is>
      </c>
      <c r="F67" s="9" t="inlineStr">
        <is>
          <t>Fixed</t>
        </is>
      </c>
      <c r="G67" s="8" t="inlineStr">
        <is>
          <t>- Line trace: label "Analyzing Thumb" có chấm vàng nằm đúng đầu ngón cái. Report teaser và hero Paywall 1: chấm nằm trên đầu cả 5 ngón, Life line (xanh lá) cong quanh gò ngón cái, các đường nằm trong lòng bàn tay. Lưu ý: ảnh line_trace chỉ chụp được frame đầu (Thumb, ~10% progress), các frame ngón/đường sau không verify trực tiếp trên màn này; ảnh walk-end dùng ảnh tay test của driver, overlay nằm trong lòng bàn tay.</t>
        </is>
      </c>
      <c r="H67" s="8" t="inlineStr">
        <is>
          <t>Screenshot/Video: screens/18-line_trace-small.png, screens/18-line_trace-large.png, screens/19-report_teaser-small-p1.png, screens/19-report_teaser-large.png, screens/21-paywall-small-p1.png, screens/walk-end-paywall (paywall).png</t>
        </is>
      </c>
    </row>
    <row r="68">
      <c r="A68" s="4" t="inlineStr">
        <is>
          <t>palm-reading</t>
        </is>
      </c>
      <c r="B68" s="4" t="n">
        <v>5</v>
      </c>
      <c r="C68" s="4" t="inlineStr">
        <is>
          <t>Intro 20</t>
        </is>
      </c>
      <c r="D68" s="10" t="inlineStr">
        <is>
          <t>Low</t>
        </is>
      </c>
      <c r="E68" s="8" t="inlineStr">
        <is>
          <t>[UI][Intro 20] Màn Email thiếu header (nút Back + logo Starlyn), title sát mép trên</t>
        </is>
      </c>
      <c r="F68" s="9" t="inlineStr">
        <is>
          <t>Fixed</t>
        </is>
      </c>
      <c r="G68" s="8" t="inlineStr">
        <is>
          <t>- Màn Email vẫn không có header (Back + logo) nhưng title "Where should we send your reading?" đã có khoảng cách top tương đương vị trí title ở các màn quiz, không còn sát mép trên.</t>
        </is>
      </c>
      <c r="H68" s="8" t="inlineStr">
        <is>
          <t>Screenshot/Video: screens/20-email-small.png, screens/20-email-large.png, screens/14-main_line-small.png</t>
        </is>
      </c>
    </row>
    <row r="69">
      <c r="A69" s="4" t="inlineStr">
        <is>
          <t>palm-reading</t>
        </is>
      </c>
      <c r="B69" s="4" t="n">
        <v>6</v>
      </c>
      <c r="C69" s="4" t="inlineStr">
        <is>
          <t>Paywall 1</t>
        </is>
      </c>
      <c r="D69" s="7" t="inlineStr">
        <is>
          <t>High</t>
        </is>
      </c>
      <c r="E69" s="8" t="inlineStr">
        <is>
          <t>[UI][Paywall 1] Thiếu section Rating + reviews và tên entity ở footer so với spec</t>
        </is>
      </c>
      <c r="F69" s="13" t="inlineStr">
        <is>
          <t>Cần PM</t>
        </is>
      </c>
      <c r="G69" s="8" t="inlineStr">
        <is>
          <t>- Vẫn như lượt 1: sau "How it works" là FAQ "Good to know", không có section Rating + reviews; footer chỉ có "Terms of Use · Privacy Policy · Subscription terms", "Support: support@starlyn.co", "For entertainment purposes only.", không có tên pháp nhân. Spec (funnel-content.md đã update) vẫn ghi mục 5 "Rating + reviews" và mục 9 "Footer with legal links and entity" – cần PM chốt bỏ khỏi spec hay bổ sung. Khớp status dev báo.</t>
        </is>
      </c>
      <c r="H69" s="8" t="inlineStr">
        <is>
          <t>Screenshot/Video: screens/21-paywall-large-p2.png, screens/21-paywall-large-p3.png, screens/21-paywall-large-p4.png, screens/21-paywall-small-p4.png</t>
        </is>
      </c>
    </row>
    <row r="70">
      <c r="A70" s="4" t="inlineStr">
        <is>
          <t>palm-reading</t>
        </is>
      </c>
      <c r="B70" s="4" t="n">
        <v>7</v>
      </c>
      <c r="C70" s="4" t="inlineStr">
        <is>
          <t>Download App</t>
        </is>
      </c>
      <c r="D70" s="11" t="inlineStr">
        <is>
          <t>Medium</t>
        </is>
      </c>
      <c r="E70" s="8" t="inlineStr">
        <is>
          <t>[UI][Download App] Badge "Download on the App Store" dùng icon không phải logo Apple</t>
        </is>
      </c>
      <c r="F70" s="9" t="inlineStr">
        <is>
          <t>Fixed</t>
        </is>
      </c>
      <c r="G70" s="8" t="inlineStr">
        <is>
          <t>- Badge "Download on the App Store" đã dùng logo Apple chính thức. (Badge Google Play vẫn là icon play outline đơn sắc – bug cũ của palm không yêu cầu phần này.)</t>
        </is>
      </c>
      <c r="H70" s="8" t="inlineStr">
        <is>
          <t>Screenshot/Video: screens/23-get_app-small.png, screens/23-get_app-large.png</t>
        </is>
      </c>
    </row>
    <row r="71">
      <c r="A71" s="4" t="inlineStr">
        <is>
          <t>past-life</t>
        </is>
      </c>
      <c r="B71" s="4" t="n">
        <v>1</v>
      </c>
      <c r="C71" s="4" t="inlineStr">
        <is>
          <t>Intro 1</t>
        </is>
      </c>
      <c r="D71" s="10" t="inlineStr">
        <is>
          <t>Low</t>
        </is>
      </c>
      <c r="E71" s="8" t="inlineStr">
        <is>
          <t>[UI][Intro 1] Silhouette trong hero nằm đè lên vòng era, che chấm era phía dưới</t>
        </is>
      </c>
      <c r="F71" s="9" t="inlineStr">
        <is>
          <t>Fixed</t>
        </is>
      </c>
      <c r="G71" s="8" t="inlineStr">
        <is>
          <t>Silhouette nằm gọn trong vòng trong, không còn che chấm era; vòng era ở Intro 16/Paywall 1/Upsale 1 cũng không còn bị che.</t>
        </is>
      </c>
      <c r="H71" s="8" t="inlineStr">
        <is>
          <t>Screenshot/Video: screens/01-hook-small.png, screens/01-hook-large.png</t>
        </is>
      </c>
    </row>
    <row r="72">
      <c r="A72" s="4" t="inlineStr">
        <is>
          <t>past-life</t>
        </is>
      </c>
      <c r="B72" s="4" t="n">
        <v>2</v>
      </c>
      <c r="C72" s="4" t="inlineStr">
        <is>
          <t>Intro 1</t>
        </is>
      </c>
      <c r="D72" s="7" t="inlineStr">
        <is>
          <t>High</t>
        </is>
      </c>
      <c r="E72" s="8" t="inlineStr">
        <is>
          <t>[UI/UX][Intro 1] Text "Terms of Use" và "Privacy Policy" không hiển thị dạng link</t>
        </is>
      </c>
      <c r="F72" s="9" t="inlineStr">
        <is>
          <t>Fixed</t>
        </is>
      </c>
      <c r="G72" s="8" t="inlineStr">
        <is>
          <t>"Terms of Use" và "Privacy Policy" đã có gạch chân ở Intro 1 và Intro 17, đồng nhất với footer Paywall 1.</t>
        </is>
      </c>
      <c r="H72" s="8" t="inlineStr">
        <is>
          <t>Screenshot/Video: screens/01-hook-small.png, screens/17-email-small.png, screens/18-paywall-small-p4.png</t>
        </is>
      </c>
    </row>
    <row r="73">
      <c r="A73" s="4" t="inlineStr">
        <is>
          <t>past-life</t>
        </is>
      </c>
      <c r="B73" s="4" t="n">
        <v>3</v>
      </c>
      <c r="C73" s="4" t="inlineStr">
        <is>
          <t>Intro 2</t>
        </is>
      </c>
      <c r="D73" s="10" t="inlineStr">
        <is>
          <t>Low</t>
        </is>
      </c>
      <c r="E73" s="8" t="inlineStr">
        <is>
          <t>[UI][Intro 2] Option selected có một vệt viền sáng mảnh ở mép phải</t>
        </is>
      </c>
      <c r="F73" s="9" t="inlineStr">
        <is>
          <t>Fixed</t>
        </is>
      </c>
      <c r="G73" s="8" t="inlineStr">
        <is>
          <t>Option selected không còn vệt sáng ở mép phải trên các màn chọn option (small và large).</t>
        </is>
      </c>
      <c r="H73" s="8" t="inlineStr">
        <is>
          <t>Screenshot/Video: screens/02-era-small.png, screens/02-era-large.png, screens/04-deja_vu-small.png</t>
        </is>
      </c>
    </row>
    <row r="74">
      <c r="A74" s="4" t="inlineStr">
        <is>
          <t>past-life</t>
        </is>
      </c>
      <c r="B74" s="4" t="n">
        <v>4</v>
      </c>
      <c r="C74" s="4" t="inlineStr">
        <is>
          <t>Intro 2</t>
        </is>
      </c>
      <c r="D74" s="10" t="inlineStr">
        <is>
          <t>Low</t>
        </is>
      </c>
      <c r="E74" s="8" t="inlineStr">
        <is>
          <t>[UI][Intro 2] Không có vòng era ở background sáng lên theo era đã chọn</t>
        </is>
      </c>
      <c r="F74" s="9" t="inlineStr">
        <is>
          <t>Fixed</t>
        </is>
      </c>
      <c r="G74" s="8" t="inlineStr">
        <is>
          <t>Đã có vòng era ở cuối màn, chấm Medieval (era đã chọn) sáng gold.</t>
        </is>
      </c>
      <c r="H74" s="8" t="inlineStr">
        <is>
          <t>Screenshot/Video: screens/02-era-small.png, screens/02-era-large.png</t>
        </is>
      </c>
    </row>
    <row r="75">
      <c r="A75" s="4" t="inlineStr">
        <is>
          <t>past-life</t>
        </is>
      </c>
      <c r="B75" s="4" t="n">
        <v>5</v>
      </c>
      <c r="C75" s="4" t="inlineStr">
        <is>
          <t>Intro 7</t>
        </is>
      </c>
      <c r="D75" s="10" t="inlineStr">
        <is>
          <t>Low</t>
        </is>
      </c>
      <c r="E75" s="8" t="inlineStr">
        <is>
          <t>[UI][Intro 7] Statement không hiển thị dạng statement card lớn</t>
        </is>
      </c>
      <c r="F75" s="9" t="inlineStr">
        <is>
          <t>Fixed</t>
        </is>
      </c>
      <c r="G75" s="8" t="inlineStr">
        <is>
          <t>Statement hiển thị trong card lớn có eyebrow "STATEMENT", phía dưới 3 pill option.</t>
        </is>
      </c>
      <c r="H75" s="8" t="inlineStr">
        <is>
          <t>Screenshot/Video: screens/07-statement_friends-small.png, screens/08-statement_old_things-large.png, screens/09-statement_fears-small.png</t>
        </is>
      </c>
    </row>
    <row r="76">
      <c r="A76" s="4" t="inlineStr">
        <is>
          <t>past-life</t>
        </is>
      </c>
      <c r="B76" s="4" t="n">
        <v>6</v>
      </c>
      <c r="C76" s="4" t="inlineStr">
        <is>
          <t>Intro 14</t>
        </is>
      </c>
      <c r="D76" s="10" t="inlineStr">
        <is>
          <t>Low</t>
        </is>
      </c>
      <c r="E76" s="8" t="inlineStr">
        <is>
          <t>[UI/UX][Intro 14] Ô Month/Day/Year không có icon dropdown</t>
        </is>
      </c>
      <c r="F76" s="9" t="inlineStr">
        <is>
          <t>Fixed</t>
        </is>
      </c>
      <c r="G76" s="8" t="inlineStr">
        <is>
          <t>3 ô Month/Day/Year đã có chevron.</t>
        </is>
      </c>
      <c r="H76" s="8" t="inlineStr">
        <is>
          <t>Screenshot/Video: screens/14-birth_date-small.png, screens/14-birth_date-large.png</t>
        </is>
      </c>
    </row>
    <row r="77">
      <c r="A77" s="4" t="inlineStr">
        <is>
          <t>past-life</t>
        </is>
      </c>
      <c r="B77" s="4" t="n">
        <v>7</v>
      </c>
      <c r="C77" s="4" t="inlineStr">
        <is>
          <t>Intro 15</t>
        </is>
      </c>
      <c r="D77" s="11" t="inlineStr">
        <is>
          <t>Medium</t>
        </is>
      </c>
      <c r="E77" s="8" t="inlineStr">
        <is>
          <t>[UI][Intro 15] Icon era trên cùng của vòng era bị cắt mất nửa trên</t>
        </is>
      </c>
      <c r="F77" s="9" t="inlineStr">
        <is>
          <t>Fixed</t>
        </is>
      </c>
      <c r="G77" s="8" t="inlineStr">
        <is>
          <t>Icon era trên cùng hiển thị đầy đủ, cách headline "Finding your past life" một khoảng.</t>
        </is>
      </c>
      <c r="H77" s="8" t="inlineStr">
        <is>
          <t>Screenshot/Video: screens/15-loader-small.png, screens/15-loader-large.png</t>
        </is>
      </c>
    </row>
    <row r="78">
      <c r="A78" s="4" t="inlineStr">
        <is>
          <t>past-life</t>
        </is>
      </c>
      <c r="B78" s="4" t="n">
        <v>8</v>
      </c>
      <c r="C78" s="4" t="inlineStr">
        <is>
          <t>Intro 15</t>
        </is>
      </c>
      <c r="D78" s="10" t="inlineStr">
        <is>
          <t>Low</t>
        </is>
      </c>
      <c r="E78" s="8" t="inlineStr">
        <is>
          <t>[UI][Intro 15] Loader hiển thị số phần trăm "15%" trong progress ring</t>
        </is>
      </c>
      <c r="F78" s="9" t="inlineStr">
        <is>
          <t>Fixed</t>
        </is>
      </c>
      <c r="G78" s="8" t="inlineStr">
        <is>
          <t>Progress ring chỉ còn icon đồng hồ cát, không còn số %.</t>
        </is>
      </c>
      <c r="H78" s="8" t="inlineStr">
        <is>
          <t>Screenshot/Video: screens/15-loader-small.png, screens/15-loader-large.png</t>
        </is>
      </c>
    </row>
    <row r="79">
      <c r="A79" s="4" t="inlineStr">
        <is>
          <t>past-life</t>
        </is>
      </c>
      <c r="B79" s="4" t="n">
        <v>9</v>
      </c>
      <c r="C79" s="4" t="inlineStr">
        <is>
          <t>Intro 16</t>
        </is>
      </c>
      <c r="D79" s="10" t="inlineStr">
        <is>
          <t>Low</t>
        </is>
      </c>
      <c r="E79" s="8" t="inlineStr">
        <is>
          <t>[UI][Intro 16] Role chip hiển thị màu xanh lá, không đồng bộ với era chip</t>
        </is>
      </c>
      <c r="F79" s="9" t="inlineStr">
        <is>
          <t>Fixed</t>
        </is>
      </c>
      <c r="G79" s="8" t="inlineStr">
        <is>
          <t>Era chip "Medieval" và role chip "village herbalist" cùng màu gold, cùng chiều cao.</t>
        </is>
      </c>
      <c r="H79" s="8" t="inlineStr">
        <is>
          <t>Screenshot/Video: screens/16-past_life_teaser-small-p1.png, screens/16-past_life_teaser-large.png</t>
        </is>
      </c>
    </row>
    <row r="80">
      <c r="A80" s="4" t="inlineStr">
        <is>
          <t>past-life</t>
        </is>
      </c>
      <c r="B80" s="4" t="n">
        <v>10</v>
      </c>
      <c r="C80" s="4" t="inlineStr">
        <is>
          <t>Intro 16</t>
        </is>
      </c>
      <c r="D80" s="10" t="inlineStr">
        <is>
          <t>Low</t>
        </is>
      </c>
      <c r="E80" s="8" t="inlineStr">
        <is>
          <t>[UI][Intro 16] Hero không phải medallion tròn, ảnh chữ nhật lộ cạnh trên</t>
        </is>
      </c>
      <c r="F80" s="9" t="inlineStr">
        <is>
          <t>Fixed</t>
        </is>
      </c>
      <c r="G80" s="8" t="inlineStr">
        <is>
          <t>Hero là medallion tròn (vòng gold bao ngoài vòng era), không còn ảnh chữ nhật lộ cạnh trên.</t>
        </is>
      </c>
      <c r="H80" s="8" t="inlineStr">
        <is>
          <t>Screenshot/Video: screens/16-past_life_teaser-small-p1.png, screens/16-past_life_teaser-large.png</t>
        </is>
      </c>
    </row>
    <row r="81">
      <c r="A81" s="4" t="inlineStr">
        <is>
          <t>past-life</t>
        </is>
      </c>
      <c r="B81" s="4" t="n">
        <v>11</v>
      </c>
      <c r="C81" s="4" t="inlineStr">
        <is>
          <t>Paywall 1</t>
        </is>
      </c>
      <c r="D81" s="11" t="inlineStr">
        <is>
          <t>Medium</t>
        </is>
      </c>
      <c r="E81" s="8" t="inlineStr">
        <is>
          <t>[UI][Paywall 1] Ảnh hero bị cắt phần trên vòng era ngay dưới khối headline</t>
        </is>
      </c>
      <c r="F81" s="9" t="inlineStr">
        <is>
          <t>Fixed</t>
        </is>
      </c>
      <c r="G81" s="8" t="inlineStr">
        <is>
          <t>Medallion hero hiển thị đầy đủ, không còn bị cắt mép trên.</t>
        </is>
      </c>
      <c r="H81" s="8" t="inlineStr">
        <is>
          <t>Screenshot/Video: screens/18-paywall-small-p1.png, screens/18-paywall-large-p1.png</t>
        </is>
      </c>
    </row>
    <row r="82">
      <c r="A82" s="4" t="inlineStr">
        <is>
          <t>past-life</t>
        </is>
      </c>
      <c r="B82" s="4" t="n">
        <v>12</v>
      </c>
      <c r="C82" s="4" t="inlineStr">
        <is>
          <t>Paywall 1</t>
        </is>
      </c>
      <c r="D82" s="10" t="inlineStr">
        <is>
          <t>Low</t>
        </is>
      </c>
      <c r="E82" s="8" t="inlineStr">
        <is>
          <t>[UI][Paywall 1] Nội dung cuộn hiện xuyên qua sticky header</t>
        </is>
      </c>
      <c r="F82" s="9" t="inlineStr">
        <is>
          <t>Fixed</t>
        </is>
      </c>
      <c r="G82" s="8" t="inlineStr">
        <is>
          <t>Sticky header đã che kín nội dung phía sau khi cuộn, không còn chữ xuyên qua vùng logo.</t>
        </is>
      </c>
      <c r="H82" s="8" t="inlineStr">
        <is>
          <t>Screenshot/Video: screens/18-paywall-small-p2.png, screens/18-paywall-small-p3.png, screens/18-paywall-large-p2.png, screens/18-paywall-large-p4.png</t>
        </is>
      </c>
    </row>
    <row r="83">
      <c r="A83" s="4" t="inlineStr">
        <is>
          <t>past-life</t>
        </is>
      </c>
      <c r="B83" s="4" t="n">
        <v>13</v>
      </c>
      <c r="C83" s="4" t="inlineStr">
        <is>
          <t>Paywall 1</t>
        </is>
      </c>
      <c r="D83" s="7" t="inlineStr">
        <is>
          <t>High</t>
        </is>
      </c>
      <c r="E83" s="8" t="inlineStr">
        <is>
          <t>[UI][Paywall 1] Footer thiếu thông tin entity</t>
        </is>
      </c>
      <c r="F83" s="13" t="inlineStr">
        <is>
          <t>Cần PM</t>
        </is>
      </c>
      <c r="G83" s="8" t="inlineStr">
        <is>
          <t>Vẫn chưa có tên entity ở footer (chỉ có Terms of Use / Privacy Policy / Subscription terms + disclaimer). Đúng như dev ghi "Cần PM", chờ PM cung cấp tên pháp nhân.</t>
        </is>
      </c>
      <c r="H83" s="8" t="inlineStr">
        <is>
          <t>Screenshot/Video: screens/18-paywall-small-p4.png, screens/18-paywall-large-p4.png</t>
        </is>
      </c>
    </row>
    <row r="84">
      <c r="A84" s="4" t="inlineStr">
        <is>
          <t>past-life</t>
        </is>
      </c>
      <c r="B84" s="4" t="n">
        <v>14</v>
      </c>
      <c r="C84" s="4" t="inlineStr">
        <is>
          <t>Upsale 1</t>
        </is>
      </c>
      <c r="D84" s="11" t="inlineStr">
        <is>
          <t>Medium</t>
        </is>
      </c>
      <c r="E84" s="8" t="inlineStr">
        <is>
          <t>[UI][Upsale 1] Ảnh cover report bị cắt phần trên vòng era</t>
        </is>
      </c>
      <c r="F84" s="9" t="inlineStr">
        <is>
          <t>Fixed</t>
        </is>
      </c>
      <c r="G84" s="8" t="inlineStr">
        <is>
          <t>Ảnh cover không còn bị cắt mép trên (vòng era hiển thị đủ). Tuy nhiên label/tên report giờ đè lên nửa dưới medallion, log thành bug mới N1.</t>
        </is>
      </c>
      <c r="H84" s="8" t="inlineStr">
        <is>
          <t>Screenshot/Video: screens/19-report_upsell-small-p1.png, screens/19-report_upsell-large.png</t>
        </is>
      </c>
    </row>
    <row r="85">
      <c r="A85" s="4" t="inlineStr">
        <is>
          <t>past-life</t>
        </is>
      </c>
      <c r="B85" s="4" t="n">
        <v>15</v>
      </c>
      <c r="C85" s="4" t="inlineStr">
        <is>
          <t>Download App</t>
        </is>
      </c>
      <c r="D85" s="11" t="inlineStr">
        <is>
          <t>Medium</t>
        </is>
      </c>
      <c r="E85" s="8" t="inlineStr">
        <is>
          <t>[UI][Download App] Icon trên badge App Store không giống logo Apple</t>
        </is>
      </c>
      <c r="F85" s="9" t="inlineStr">
        <is>
          <t>Fixed</t>
        </is>
      </c>
      <c r="G85" s="8" t="inlineStr">
        <is>
          <t>Badge App Store đã dùng logo Apple chính thức.</t>
        </is>
      </c>
      <c r="H85" s="8" t="inlineStr">
        <is>
          <t>Screenshot/Video: screens/20-get_app-small.png, screens/20-get_app-large.png</t>
        </is>
      </c>
    </row>
    <row r="86">
      <c r="A86" s="4" t="inlineStr">
        <is>
          <t>soulmate-sketch</t>
        </is>
      </c>
      <c r="B86" s="4" t="n">
        <v>1</v>
      </c>
      <c r="C86" s="4" t="inlineStr">
        <is>
          <t>Intro 1</t>
        </is>
      </c>
      <c r="D86" s="7" t="inlineStr">
        <is>
          <t>High</t>
        </is>
      </c>
      <c r="E86" s="8" t="inlineStr">
        <is>
          <t>[UI/UX][Intro 1] Link "Terms" và "Privacy Policy" có tap target nhỏ</t>
        </is>
      </c>
      <c r="F86" s="9" t="inlineStr">
        <is>
          <t>Fixed</t>
        </is>
      </c>
      <c r="G86" s="8" t="inlineStr">
        <is>
          <t>Auto-check trong capture.json lượt 2 không còn báo tap target nhỏ; link "Terms" và "Privacy Policy" có gạch chân. Kích thước vùng bấm dựa vào auto-check, ảnh tĩnh không đo được.</t>
        </is>
      </c>
      <c r="H86" s="8" t="inlineStr">
        <is>
          <t>Screenshot/Video: screens/01-1-small.png, screens/01-1-large.png, screens/21-21-small.png</t>
        </is>
      </c>
    </row>
    <row r="87">
      <c r="A87" s="4" t="inlineStr">
        <is>
          <t>soulmate-sketch</t>
        </is>
      </c>
      <c r="B87" s="4" t="n">
        <v>2</v>
      </c>
      <c r="C87" s="4" t="inlineStr">
        <is>
          <t>Intro 1</t>
        </is>
      </c>
      <c r="D87" s="10" t="inlineStr">
        <is>
          <t>Low</t>
        </is>
      </c>
      <c r="E87" s="8" t="inlineStr">
        <is>
          <t>[UI][Intro 1] Nét outline gold lệch khỏi khuôn mặt trong ảnh sketch hero</t>
        </is>
      </c>
      <c r="F87" s="9" t="inlineStr">
        <is>
          <t>Fixed</t>
        </is>
      </c>
      <c r="G87" s="8" t="inlineStr">
        <is>
          <t>Không còn nét outline gold lệch trên card hero; chỉ còn phần tô gold trên tóc trùng với ảnh sketch.</t>
        </is>
      </c>
      <c r="H87" s="8" t="inlineStr">
        <is>
          <t>Screenshot/Video: screens/01-1-small.png, screens/01-1-large.png</t>
        </is>
      </c>
    </row>
    <row r="88">
      <c r="A88" s="4" t="inlineStr">
        <is>
          <t>soulmate-sketch</t>
        </is>
      </c>
      <c r="B88" s="4" t="n">
        <v>3</v>
      </c>
      <c r="C88" s="4" t="inlineStr">
        <is>
          <t>Intro 2</t>
        </is>
      </c>
      <c r="D88" s="10" t="inlineStr">
        <is>
          <t>Low</t>
        </is>
      </c>
      <c r="E88" s="8" t="inlineStr">
        <is>
          <t>[UI][Intro 2] Hiệu ứng sao băng vẽ đè lên card và text</t>
        </is>
      </c>
      <c r="F88" s="9" t="inlineStr">
        <is>
          <t>Fixed</t>
        </is>
      </c>
      <c r="G88" s="8" t="inlineStr">
        <is>
          <t>Ở thời điểm chụp không có vệt sao băng nào đè lên card/text ở Intro 2 và Intro 11; ở Intro 8, Intro 18 vệt sao băng chỉ chạy ở vùng phía trên headline. Đây là animation ngẫu nhiên nên kết luận dựa trên ảnh tĩnh (độ tin cậy trung bình).</t>
        </is>
      </c>
      <c r="H88" s="8" t="inlineStr">
        <is>
          <t>Screenshot/Video: screens/02-2-small.png, screens/02-2-large.png, screens/11-11-small-p1.png, screens/08-8-small.png, screens/18-18-large.png</t>
        </is>
      </c>
    </row>
    <row r="89">
      <c r="A89" s="4" t="inlineStr">
        <is>
          <t>soulmate-sketch</t>
        </is>
      </c>
      <c r="B89" s="4" t="n">
        <v>4</v>
      </c>
      <c r="C89" s="4" t="inlineStr">
        <is>
          <t>Intro 6</t>
        </is>
      </c>
      <c r="D89" s="11" t="inlineStr">
        <is>
          <t>Medium</t>
        </is>
      </c>
      <c r="E89" s="8" t="inlineStr">
        <is>
          <t>[UI/UX][Intro 6] Button Continue hiển thị enabled khi Month/Day/Year đang trống</t>
        </is>
      </c>
      <c r="F89" s="9" t="inlineStr">
        <is>
          <t>Fixed</t>
        </is>
      </c>
      <c r="G89" s="8" t="inlineStr">
        <is>
          <t>Khi Month/Day/Year còn trống, Continue hiển thị disabled, đồng nhất với Intro 8 và Intro 9.</t>
        </is>
      </c>
      <c r="H89" s="8" t="inlineStr">
        <is>
          <t>Screenshot/Video: screens/06-6-small.png, screens/06-6-large.png, screens/08-8-large.png</t>
        </is>
      </c>
    </row>
    <row r="90">
      <c r="A90" s="4" t="inlineStr">
        <is>
          <t>soulmate-sketch</t>
        </is>
      </c>
      <c r="B90" s="4" t="n">
        <v>5</v>
      </c>
      <c r="C90" s="4" t="inlineStr">
        <is>
          <t>Intro 6</t>
        </is>
      </c>
      <c r="D90" s="10" t="inlineStr">
        <is>
          <t>Low</t>
        </is>
      </c>
      <c r="E90" s="8" t="inlineStr">
        <is>
          <t>[UI/UX][Intro 6] Ô Month/Day/Year không có icon dropdown</t>
        </is>
      </c>
      <c r="F90" s="9" t="inlineStr">
        <is>
          <t>Fixed</t>
        </is>
      </c>
      <c r="G90" s="8" t="inlineStr">
        <is>
          <t>3 ô Month/Day/Year đã có chevron.</t>
        </is>
      </c>
      <c r="H90" s="8" t="inlineStr">
        <is>
          <t>Screenshot/Video: screens/06-6-small.png, screens/06-6-large.png</t>
        </is>
      </c>
    </row>
    <row r="91">
      <c r="A91" s="4" t="inlineStr">
        <is>
          <t>soulmate-sketch</t>
        </is>
      </c>
      <c r="B91" s="4" t="n">
        <v>6</v>
      </c>
      <c r="C91" s="4" t="inlineStr">
        <is>
          <t>Intro 8</t>
        </is>
      </c>
      <c r="D91" s="11" t="inlineStr">
        <is>
          <t>Medium</t>
        </is>
      </c>
      <c r="E91" s="8" t="inlineStr">
        <is>
          <t>[UI][Intro 8] Ô Time of birth hiển thị 2 icon đồng hồ</t>
        </is>
      </c>
      <c r="F91" s="9" t="inlineStr">
        <is>
          <t>Fixed</t>
        </is>
      </c>
      <c r="G91" s="8" t="inlineStr">
        <is>
          <t>Ô "Time of birth" chỉ còn 1 icon đồng hồ bên trái.</t>
        </is>
      </c>
      <c r="H91" s="8" t="inlineStr">
        <is>
          <t>Screenshot/Video: screens/08-8-small.png, screens/08-8-large.png</t>
        </is>
      </c>
    </row>
    <row r="92">
      <c r="A92" s="4" t="inlineStr">
        <is>
          <t>soulmate-sketch</t>
        </is>
      </c>
      <c r="B92" s="4" t="n">
        <v>7</v>
      </c>
      <c r="C92" s="4" t="inlineStr">
        <is>
          <t>Intro 11</t>
        </is>
      </c>
      <c r="D92" s="10" t="inlineStr">
        <is>
          <t>Low</t>
        </is>
      </c>
      <c r="E92" s="8" t="inlineStr">
        <is>
          <t>[UI][Intro 11] Chip selected có một vệt viền sáng mảnh ở mép phải</t>
        </is>
      </c>
      <c r="F92" s="9" t="inlineStr">
        <is>
          <t>Fixed</t>
        </is>
      </c>
      <c r="G92" s="8" t="inlineStr">
        <is>
          <t>Chip selected không còn vệt sáng ở mép phải.</t>
        </is>
      </c>
      <c r="H92" s="8" t="inlineStr">
        <is>
          <t>Screenshot/Video: screens/11-11-small-p1.png, screens/11-11-large.png</t>
        </is>
      </c>
    </row>
    <row r="93">
      <c r="A93" s="4" t="inlineStr">
        <is>
          <t>soulmate-sketch</t>
        </is>
      </c>
      <c r="B93" s="4" t="n">
        <v>8</v>
      </c>
      <c r="C93" s="4" t="inlineStr">
        <is>
          <t>Intro 11</t>
        </is>
      </c>
      <c r="D93" s="10" t="inlineStr">
        <is>
          <t>Low</t>
        </is>
      </c>
      <c r="E93" s="8" t="inlineStr">
        <is>
          <t>[UI][Intro 11] Emoji ✨ trên chip "Chart decides" gần như không thấy trên nền gold</t>
        </is>
      </c>
      <c r="F93" s="9" t="inlineStr">
        <is>
          <t>Fixed</t>
        </is>
      </c>
      <c r="G93" s="8" t="inlineStr">
        <is>
          <t>Emoji ✨ trên chip "Chart decides" selected đã có viền tối, nhìn rõ trên nền gold.</t>
        </is>
      </c>
      <c r="H93" s="8" t="inlineStr">
        <is>
          <t>Screenshot/Video: screens/11-11-small-p1.png, screens/11-11-large.png</t>
        </is>
      </c>
    </row>
    <row r="94">
      <c r="A94" s="4" t="inlineStr">
        <is>
          <t>soulmate-sketch</t>
        </is>
      </c>
      <c r="B94" s="4" t="n">
        <v>9</v>
      </c>
      <c r="C94" s="4" t="inlineStr">
        <is>
          <t>Intro 12</t>
        </is>
      </c>
      <c r="D94" s="10" t="inlineStr">
        <is>
          <t>Low</t>
        </is>
      </c>
      <c r="E94" s="8" t="inlineStr">
        <is>
          <t>[UI/UX][Intro 12] Màn multi-select dùng indicator dạng radio tròn</t>
        </is>
      </c>
      <c r="F94" s="9" t="inlineStr">
        <is>
          <t>Fixed</t>
        </is>
      </c>
      <c r="G94" s="8" t="inlineStr">
        <is>
          <t>Indicator đổi sang checkbox vuông, có hint "Pick at least one" khi chưa chọn.</t>
        </is>
      </c>
      <c r="H94" s="8" t="inlineStr">
        <is>
          <t>Screenshot/Video: screens/12-12-small.png, screens/12-12-large.png</t>
        </is>
      </c>
    </row>
    <row r="95">
      <c r="A95" s="4" t="inlineStr">
        <is>
          <t>soulmate-sketch</t>
        </is>
      </c>
      <c r="B95" s="4" t="n">
        <v>10</v>
      </c>
      <c r="C95" s="4" t="inlineStr">
        <is>
          <t>Intro 17</t>
        </is>
      </c>
      <c r="D95" s="10" t="inlineStr">
        <is>
          <t>Low</t>
        </is>
      </c>
      <c r="E95" s="8" t="inlineStr">
        <is>
          <t>[UI][Intro 17] Outline bàn tay nét đứt bị hở giữa các ngón</t>
        </is>
      </c>
      <c r="F95" s="9" t="inlineStr">
        <is>
          <t>Fixed</t>
        </is>
      </c>
      <c r="G95" s="8" t="inlineStr">
        <is>
          <t>Outline bàn tay là một đường nét đứt liền: mỗi ngón khép kín và nối vào lòng bàn tay, không còn nét chồng nhau. (Khung camera hiện "Camera blocked" do headless Chromium, không phải bug.)</t>
        </is>
      </c>
      <c r="H95" s="8" t="inlineStr">
        <is>
          <t>Screenshot/Video: screens/17-17-small.png, screens/17-17-large.png</t>
        </is>
      </c>
    </row>
    <row r="96">
      <c r="A96" s="4" t="inlineStr">
        <is>
          <t>soulmate-sketch</t>
        </is>
      </c>
      <c r="B96" s="4" t="n">
        <v>11</v>
      </c>
      <c r="C96" s="4" t="inlineStr">
        <is>
          <t>Intro 20</t>
        </is>
      </c>
      <c r="D96" s="10" t="inlineStr">
        <is>
          <t>Low</t>
        </is>
      </c>
      <c r="E96" s="8" t="inlineStr">
        <is>
          <t>[UI][Intro 20] Headline sát mép trên màn, không đồng nhất với các màn khác</t>
        </is>
      </c>
      <c r="F96" s="9" t="inlineStr">
        <is>
          <t>Fixed</t>
        </is>
      </c>
      <c r="G96" s="8" t="inlineStr">
        <is>
          <t>Headline đã được đẩy xuống ngang vị trí headline các màn có header (khoảng cách phía trên đồng nhất); màn vẫn không có hàng back/progress, coi là chủ ý thiết kế.</t>
        </is>
      </c>
      <c r="H96" s="8" t="inlineStr">
        <is>
          <t>Screenshot/Video: screens/20-20-small-p1.png, screens/20-20-large.png</t>
        </is>
      </c>
    </row>
    <row r="97">
      <c r="A97" s="4" t="inlineStr">
        <is>
          <t>soulmate-sketch</t>
        </is>
      </c>
      <c r="B97" s="4" t="n">
        <v>12</v>
      </c>
      <c r="C97" s="4" t="inlineStr">
        <is>
          <t>Paywall 1</t>
        </is>
      </c>
      <c r="D97" s="7" t="inlineStr">
        <is>
          <t>High</t>
        </is>
      </c>
      <c r="E97" s="8" t="inlineStr">
        <is>
          <t>[UI/UX][Paywall 1] Không có sticky bottom CTA khi không còn plan block trên màn</t>
        </is>
      </c>
      <c r="F97" s="9" t="inlineStr">
        <is>
          <t>Fixed</t>
        </is>
      </c>
      <c r="G97" s="8" t="inlineStr">
        <is>
          <t>Khi plan block đã cuộn khỏi màn, đáy màn có sticky bar "1 week, then monthly · $13.67 today" + CTA "Unlock my sketch"; bar ẩn khi plan block thứ 2 hiện ra.</t>
        </is>
      </c>
      <c r="H97" s="8" t="inlineStr">
        <is>
          <t>Screenshot/Video: screens/22-22-small-p2.png, screens/22-22-small-p3.png, screens/22-22-large-p2.png, screens/22-22-small-p4.png</t>
        </is>
      </c>
    </row>
    <row r="98">
      <c r="A98" s="4" t="inlineStr">
        <is>
          <t>soulmate-sketch</t>
        </is>
      </c>
      <c r="B98" s="4" t="n">
        <v>13</v>
      </c>
      <c r="C98" s="4" t="inlineStr">
        <is>
          <t>Paywall 1</t>
        </is>
      </c>
      <c r="D98" s="10" t="inlineStr">
        <is>
          <t>Low</t>
        </is>
      </c>
      <c r="E98" s="8" t="inlineStr">
        <is>
          <t>[UI][Paywall 1] Nội dung cuộn hiện xuyên qua sticky header</t>
        </is>
      </c>
      <c r="F98" s="9" t="inlineStr">
        <is>
          <t>Fixed</t>
        </is>
      </c>
      <c r="G98" s="8" t="inlineStr">
        <is>
          <t>Sticky header đã che kín nội dung phía sau khi cuộn.</t>
        </is>
      </c>
      <c r="H98" s="8" t="inlineStr">
        <is>
          <t>Screenshot/Video: screens/22-22-small-p3.png, screens/22-22-small-p4.png, screens/22-22-large-p3.png</t>
        </is>
      </c>
    </row>
    <row r="99">
      <c r="A99" s="4" t="inlineStr">
        <is>
          <t>soulmate-sketch</t>
        </is>
      </c>
      <c r="B99" s="4" t="n">
        <v>14</v>
      </c>
      <c r="C99" s="4" t="inlineStr">
        <is>
          <t>Paywall 1</t>
        </is>
      </c>
      <c r="D99" s="10" t="inlineStr">
        <is>
          <t>Low</t>
        </is>
      </c>
      <c r="E99" s="8" t="inlineStr">
        <is>
          <t>[UI][Paywall 1] Danh sách benefit không khớp copy trong brief</t>
        </is>
      </c>
      <c r="F99" s="9" t="inlineStr">
        <is>
          <t>Fixed</t>
        </is>
      </c>
      <c r="G99" s="8" t="inlineStr">
        <is>
          <t>Mục "Everything in your reading" hiển thị đúng 3 dòng theo brief: "Your soulmate sketch in full HD" / "Their nature, and where you may meet" / "Daily love forecast in the app".</t>
        </is>
      </c>
      <c r="H99" s="8" t="inlineStr">
        <is>
          <t>Screenshot/Video: screens/22-22-small-p2.png, screens/22-22-large-p2.png</t>
        </is>
      </c>
    </row>
    <row r="100">
      <c r="A100" s="4" t="inlineStr">
        <is>
          <t>soulmate-sketch</t>
        </is>
      </c>
      <c r="B100" s="4" t="n">
        <v>15</v>
      </c>
      <c r="C100" s="4" t="inlineStr">
        <is>
          <t>Paywall 1</t>
        </is>
      </c>
      <c r="D100" s="10" t="inlineStr">
        <is>
          <t>Low</t>
        </is>
      </c>
      <c r="E100" s="8" t="inlineStr">
        <is>
          <t>[UI][Paywall 1] Icon khóa không đồng nhất với các màn trước</t>
        </is>
      </c>
      <c r="F100" s="9" t="inlineStr">
        <is>
          <t>Fixed</t>
        </is>
      </c>
      <c r="G100" s="8" t="inlineStr">
        <is>
          <t>"Secure checkout" dùng icon khóa dạng line màu gold, cùng style với Intro 20; danh sách benefit không còn emoji 🔒.</t>
        </is>
      </c>
      <c r="H100" s="8" t="inlineStr">
        <is>
          <t>Screenshot/Video: screens/22-22-small-p2.png, screens/22-22-small-p4.png, screens/20-20-small-p2.png</t>
        </is>
      </c>
    </row>
    <row r="101">
      <c r="A101" s="4" t="inlineStr">
        <is>
          <t>soulmate-sketch</t>
        </is>
      </c>
      <c r="B101" s="4" t="n">
        <v>16</v>
      </c>
      <c r="C101" s="4" t="inlineStr">
        <is>
          <t>Paywall 1</t>
        </is>
      </c>
      <c r="D101" s="10" t="inlineStr">
        <is>
          <t>Low</t>
        </is>
      </c>
      <c r="E101" s="8" t="inlineStr">
        <is>
          <t>[UI][Paywall 1] Lưới fact chip bị trống một ô</t>
        </is>
      </c>
      <c r="F101" s="9" t="inlineStr">
        <is>
          <t>Fixed</t>
        </is>
      </c>
      <c r="G101" s="8" t="inlineStr">
        <is>
          <t>Chip "Sketch" giãn full width ở hàng 2, không còn ô trống.</t>
        </is>
      </c>
      <c r="H101" s="8" t="inlineStr">
        <is>
          <t>Screenshot/Video: screens/22-22-small-p1.png, screens/22-22-large-p1.png</t>
        </is>
      </c>
    </row>
    <row r="102">
      <c r="A102" s="4" t="inlineStr">
        <is>
          <t>tarot</t>
        </is>
      </c>
      <c r="B102" s="4" t="n">
        <v>1</v>
      </c>
      <c r="C102" s="4" t="inlineStr">
        <is>
          <t>Intro 1</t>
        </is>
      </c>
      <c r="D102" s="10" t="inlineStr">
        <is>
          <t>Low</t>
        </is>
      </c>
      <c r="E102" s="8" t="inlineStr">
        <is>
          <t>[UI][Intro 1] Ảnh hero không full-bleed, lộ dải nền ở mép trên</t>
        </is>
      </c>
      <c r="F102" s="9" t="inlineStr">
        <is>
          <t>Fixed</t>
        </is>
      </c>
      <c r="G102" s="8" t="inlineStr">
        <is>
          <t>Ảnh hero phủ sát mép trên trên cả small và large, không còn dải nền navy.</t>
        </is>
      </c>
      <c r="H102" s="8" t="inlineStr">
        <is>
          <t>Screenshot/Video: screens/01-hook-small.png, screens/01-hook-large.png</t>
        </is>
      </c>
    </row>
    <row r="103">
      <c r="A103" s="4" t="inlineStr">
        <is>
          <t>tarot</t>
        </is>
      </c>
      <c r="B103" s="4" t="n">
        <v>2</v>
      </c>
      <c r="C103" s="4" t="inlineStr">
        <is>
          <t>Intro 1</t>
        </is>
      </c>
      <c r="D103" s="10" t="inlineStr">
        <is>
          <t>Low</t>
        </is>
      </c>
      <c r="E103" s="8" t="inlineStr">
        <is>
          <t>[UI][Intro 1] Chip thứ 3 hiển thị "You pull" thay vì "You pull the cards"</t>
        </is>
      </c>
      <c r="F103" s="9" t="inlineStr">
        <is>
          <t>Fixed</t>
        </is>
      </c>
      <c r="G103" s="8" t="inlineStr">
        <is>
          <t>Chip hiển thị đúng "2-min · Your question · You pull the cards".</t>
        </is>
      </c>
      <c r="H103" s="8" t="inlineStr">
        <is>
          <t>Screenshot/Video: screens/01-hook-small.png, screens/01-hook-large.png</t>
        </is>
      </c>
    </row>
    <row r="104">
      <c r="A104" s="4" t="inlineStr">
        <is>
          <t>tarot</t>
        </is>
      </c>
      <c r="B104" s="4" t="n">
        <v>3</v>
      </c>
      <c r="C104" s="4" t="inlineStr">
        <is>
          <t>Intro 1</t>
        </is>
      </c>
      <c r="D104" s="10" t="inlineStr">
        <is>
          <t>Low</t>
        </is>
      </c>
      <c r="E104" s="8" t="inlineStr">
        <is>
          <t>[UI][Responsive][Intro 1] Viewport large: khoảng trống lớn giữa nội dung và CTA ghim đáy</t>
        </is>
      </c>
      <c r="F104" s="9" t="inlineStr">
        <is>
          <t>Fixed</t>
        </is>
      </c>
      <c r="G104" s="8" t="inlineStr">
        <is>
          <t>Intro 1 large: ảnh hero cao hơn, nội dung lấp đầy màn. Intro 17, Upsale 1, Download App large: nội dung được căn giữa theo chiều dọc (khoảng trống chia đều trên/dưới thay vì dồn ở giữa). Độ tin cậy trung bình: vẫn còn khoảng trống ở 3 màn sau, mức chấp nhận cần Designer confirm.</t>
        </is>
      </c>
      <c r="H104" s="8" t="inlineStr">
        <is>
          <t>Screenshot/Video: screens/01-hook-large.png, screens/17-teaser-large.png, screens/19-report_upsell-large.png, screens/20-get_app-large.png</t>
        </is>
      </c>
    </row>
    <row r="105">
      <c r="A105" s="4" t="inlineStr">
        <is>
          <t>tarot</t>
        </is>
      </c>
      <c r="B105" s="4" t="n">
        <v>4</v>
      </c>
      <c r="C105" s="4" t="inlineStr">
        <is>
          <t>Intro 6</t>
        </is>
      </c>
      <c r="D105" s="11" t="inlineStr">
        <is>
          <t>Medium</t>
        </is>
      </c>
      <c r="E105" s="8" t="inlineStr">
        <is>
          <t>[UI][Responsive][Intro 6] Ảnh card-back bị cắt mép trên trên màn small</t>
        </is>
      </c>
      <c r="F105" s="9" t="inlineStr">
        <is>
          <t>Fixed</t>
        </is>
      </c>
      <c r="G105" s="8" t="inlineStr">
        <is>
          <t>Small p1: lá card-back hiển thị đủ 4 góc bo dưới header. Ở p2 lá bài trượt dưới header là do cuộn, không phải lỗi.</t>
        </is>
      </c>
      <c r="H105" s="8" t="inlineStr">
        <is>
          <t>Screenshot/Video: screens/06-bridge-small-p1.png, screens/06-bridge-large.png</t>
        </is>
      </c>
    </row>
    <row r="106">
      <c r="A106" s="4" t="inlineStr">
        <is>
          <t>tarot</t>
        </is>
      </c>
      <c r="B106" s="4" t="n">
        <v>5</v>
      </c>
      <c r="C106" s="4" t="inlineStr">
        <is>
          <t>Intro 12</t>
        </is>
      </c>
      <c r="D106" s="10" t="inlineStr">
        <is>
          <t>Low</t>
        </is>
      </c>
      <c r="E106" s="8" t="inlineStr">
        <is>
          <t>[UI/UX][Intro 12] Màn Shuffle và Pull không có header (nút Back + logo Starlyn)</t>
        </is>
      </c>
      <c r="F106" s="9" t="inlineStr">
        <is>
          <t>Fixed</t>
        </is>
      </c>
      <c r="G106" s="8" t="inlineStr">
        <is>
          <t>Intro 12 và Intro 13 đã có header với nút Back và logo "✦ Starlyn" trên cả small và large.</t>
        </is>
      </c>
      <c r="H106" s="8" t="inlineStr">
        <is>
          <t>Screenshot/Video: screens/12-shuffle_cut-small.png, screens/13-pull-small.png</t>
        </is>
      </c>
    </row>
    <row r="107">
      <c r="A107" s="4" t="inlineStr">
        <is>
          <t>tarot</t>
        </is>
      </c>
      <c r="B107" s="4" t="n">
        <v>6</v>
      </c>
      <c r="C107" s="4" t="inlineStr">
        <is>
          <t>Intro 13</t>
        </is>
      </c>
      <c r="D107" s="11" t="inlineStr">
        <is>
          <t>Medium</t>
        </is>
      </c>
      <c r="E107" s="8" t="inlineStr">
        <is>
          <t>[UI][Responsive][Intro 13] Quạt 22 lá bài sát và bị cắt ở mép trái/phải trên màn small</t>
        </is>
      </c>
      <c r="F107" s="9" t="inlineStr">
        <is>
          <t>Fixed</t>
        </is>
      </c>
      <c r="G107" s="8" t="inlineStr">
        <is>
          <t>Quạt bài trên small nằm gọn trong màn, có lề hai bên như large.</t>
        </is>
      </c>
      <c r="H107" s="8" t="inlineStr">
        <is>
          <t>Screenshot/Video: screens/13-pull-small.png, screens/13-pull-large.png</t>
        </is>
      </c>
    </row>
    <row r="108">
      <c r="A108" s="4" t="inlineStr">
        <is>
          <t>tarot</t>
        </is>
      </c>
      <c r="B108" s="4" t="n">
        <v>7</v>
      </c>
      <c r="C108" s="4" t="inlineStr">
        <is>
          <t>Intro 15</t>
        </is>
      </c>
      <c r="D108" s="10" t="inlineStr">
        <is>
          <t>Low</t>
        </is>
      </c>
      <c r="E108" s="8" t="inlineStr">
        <is>
          <t>[UI][Intro 15] Nội dung push mock khác copy trong spec</t>
        </is>
      </c>
      <c r="F108" s="9" t="inlineStr">
        <is>
          <t>Fixed</t>
        </is>
      </c>
      <c r="G108" s="8" t="inlineStr">
        <is>
          <t>Push mock hiển thị "Today's card: The Star. Rest and trust." đúng spec.</t>
        </is>
      </c>
      <c r="H108" s="8" t="inlineStr">
        <is>
          <t>Screenshot/Video: screens/15-daily_card-small.png, screens/15-daily_card-large.png</t>
        </is>
      </c>
    </row>
    <row r="109">
      <c r="A109" s="4" t="inlineStr">
        <is>
          <t>tarot</t>
        </is>
      </c>
      <c r="B109" s="4" t="n">
        <v>8</v>
      </c>
      <c r="C109" s="4" t="inlineStr">
        <is>
          <t>Paywall 1</t>
        </is>
      </c>
      <c r="D109" s="10" t="inlineStr">
        <is>
          <t>Low</t>
        </is>
      </c>
      <c r="E109" s="8" t="inlineStr">
        <is>
          <t>[UI/UX][Paywall 1] Eyebrow "YOUR READING IS READY" lặp nguyên văn headline ngay bên dưới</t>
        </is>
      </c>
      <c r="F109" s="9" t="inlineStr">
        <is>
          <t>Fixed</t>
        </is>
      </c>
      <c r="G109" s="8" t="inlineStr">
        <is>
          <t>Eyebrow đổi thành "YOUR LOVE READING" (theo topic), không còn lặp với headline "Your reading is ready".</t>
        </is>
      </c>
      <c r="H109" s="8" t="inlineStr">
        <is>
          <t>Screenshot/Video: screens/18-paywall-small-p1.png, screens/18-paywall-large-p1.png</t>
        </is>
      </c>
    </row>
    <row r="110">
      <c r="A110" s="4" t="inlineStr">
        <is>
          <t>tarot</t>
        </is>
      </c>
      <c r="B110" s="4" t="n">
        <v>9</v>
      </c>
      <c r="C110" s="4" t="inlineStr">
        <is>
          <t>Download App</t>
        </is>
      </c>
      <c r="D110" s="11" t="inlineStr">
        <is>
          <t>Medium</t>
        </is>
      </c>
      <c r="E110" s="8" t="inlineStr">
        <is>
          <t>[UI][Download App] Badge App Store / Google Play dùng icon generic, không phải logo chính thức</t>
        </is>
      </c>
      <c r="F110" s="9" t="inlineStr">
        <is>
          <t>Fixed</t>
        </is>
      </c>
      <c r="G110" s="8" t="inlineStr">
        <is>
          <t>Badge dùng logo Apple và Google Play chính thức, nền đen, chữ "Download on the App Store" / "GET IT ON Google Play".</t>
        </is>
      </c>
      <c r="H110" s="8" t="inlineStr">
        <is>
          <t>Screenshot/Video: screens/20-get_app-small.png, screens/20-get_app-large.png</t>
        </is>
      </c>
    </row>
    <row r="111">
      <c r="A111" s="4" t="inlineStr">
        <is>
          <t>witch-power</t>
        </is>
      </c>
      <c r="B111" s="4" t="n">
        <v>1</v>
      </c>
      <c r="C111" s="4" t="inlineStr">
        <is>
          <t>Intro 1</t>
        </is>
      </c>
      <c r="D111" s="10" t="inlineStr">
        <is>
          <t>Low</t>
        </is>
      </c>
      <c r="E111" s="8" t="inlineStr">
        <is>
          <t>[UI][Intro 1] Ảnh hero không full-bleed, dải nền ở mép trên cắt mất đỉnh trăng</t>
        </is>
      </c>
      <c r="F111" s="9" t="inlineStr">
        <is>
          <t>Fixed</t>
        </is>
      </c>
      <c r="G111" s="8" t="inlineStr">
        <is>
          <t>Hero đổi sang hình trăng khuyết + chart wheel vẽ trên nền sao, không còn khung ảnh/dải nền ở mép trên, đỉnh trăng hiển thị đủ (small và large).</t>
        </is>
      </c>
      <c r="H111" s="8" t="inlineStr">
        <is>
          <t>Screenshot/Video: screens/01-hook-small.png, screens/01-hook-large.png</t>
        </is>
      </c>
    </row>
    <row r="112">
      <c r="A112" s="4" t="inlineStr">
        <is>
          <t>witch-power</t>
        </is>
      </c>
      <c r="B112" s="4" t="n">
        <v>2</v>
      </c>
      <c r="C112" s="4" t="inlineStr">
        <is>
          <t>Intro 1</t>
        </is>
      </c>
      <c r="D112" s="11" t="inlineStr">
        <is>
          <t>Medium</t>
        </is>
      </c>
      <c r="E112" s="8" t="inlineStr">
        <is>
          <t>[UI][Intro 1] Ảnh minh họa trăng/chart wheel bị răng cưa và lộ khung chữ nhật của ảnh</t>
        </is>
      </c>
      <c r="F112" s="9" t="inlineStr">
        <is>
          <t>Fixed</t>
        </is>
      </c>
      <c r="G112" s="8" t="inlineStr">
        <is>
          <t>Hình trăng/chart wheel sắc nét, hòa vào nền, không còn mép chữ nhật ở Intro 1, Intro 18, Intro 19 và Paywall 1.</t>
        </is>
      </c>
      <c r="H112" s="8" t="inlineStr">
        <is>
          <t>Screenshot/Video: screens/01-hook-large.png, screens/18-loader-small.png, screens/19-big_three-small-p1.png, screens/22-paywall-small-p1.png</t>
        </is>
      </c>
    </row>
    <row r="113">
      <c r="A113" s="4" t="inlineStr">
        <is>
          <t>witch-power</t>
        </is>
      </c>
      <c r="B113" s="4" t="n">
        <v>3</v>
      </c>
      <c r="C113" s="4" t="inlineStr">
        <is>
          <t>Intro 1</t>
        </is>
      </c>
      <c r="D113" s="10" t="inlineStr">
        <is>
          <t>Low</t>
        </is>
      </c>
      <c r="E113" s="8" t="inlineStr">
        <is>
          <t>[UI][Responsive][Intro 1] Viewport large: khoảng trống lớn giữa nội dung và CTA ghim đáy</t>
        </is>
      </c>
      <c r="F113" s="9" t="inlineStr">
        <is>
          <t>Fixed</t>
        </is>
      </c>
      <c r="G113" s="8" t="inlineStr">
        <is>
          <t>Trên large, nội dung Intro 1, Intro 20, Intro 21, Upsale 1, Download App được căn giữa theo chiều dọc (khoảng trống chia đều trên/dưới). Độ tin cậy trung bình: vẫn còn khoảng trống, mức chấp nhận cần Designer confirm.</t>
        </is>
      </c>
      <c r="H113" s="8" t="inlineStr">
        <is>
          <t>Screenshot/Video: screens/01-hook-large.png, screens/20-email-large.png, screens/21-power_teaser-large.png, screens/23-report_upsell-large.png, screens/24-get_app-large.png</t>
        </is>
      </c>
    </row>
    <row r="114">
      <c r="A114" s="4" t="inlineStr">
        <is>
          <t>witch-power</t>
        </is>
      </c>
      <c r="B114" s="4" t="n">
        <v>4</v>
      </c>
      <c r="C114" s="4" t="inlineStr">
        <is>
          <t>Intro 19</t>
        </is>
      </c>
      <c r="D114" s="10" t="inlineStr">
        <is>
          <t>Low</t>
        </is>
      </c>
      <c r="E114" s="8" t="inlineStr">
        <is>
          <t>[UI][Intro 19] Dòng mô tả Sun viết thường chữ đầu, không đồng nhất với Moon/Rising</t>
        </is>
      </c>
      <c r="F114" s="9" t="inlineStr">
        <is>
          <t>Fixed</t>
        </is>
      </c>
      <c r="G114" s="8" t="inlineStr">
        <is>
          <t>Mô tả Sun hiển thị "Your steady root: how you shine.", viết hoa chữ đầu như Moon/Rising.</t>
        </is>
      </c>
      <c r="H114" s="8" t="inlineStr">
        <is>
          <t>Screenshot/Video: screens/19-big_three-small-p1.png, screens/19-big_three-large.png</t>
        </is>
      </c>
    </row>
    <row r="115">
      <c r="A115" s="4" t="inlineStr">
        <is>
          <t>witch-power</t>
        </is>
      </c>
      <c r="B115" s="4" t="n">
        <v>5</v>
      </c>
      <c r="C115" s="4" t="inlineStr">
        <is>
          <t>Intro 21</t>
        </is>
      </c>
      <c r="D115" s="11" t="inlineStr">
        <is>
          <t>Medium</t>
        </is>
      </c>
      <c r="E115" s="8" t="inlineStr">
        <is>
          <t>[UI][Intro 21] Disc glyph power bị lệch trái và quầng glow bị cắt phẳng ở mép trên</t>
        </is>
      </c>
      <c r="F115" s="9" t="inlineStr">
        <is>
          <t>Fixed</t>
        </is>
      </c>
      <c r="G115" s="8" t="inlineStr">
        <is>
          <t>Disc 👁️ căn giữa cùng headline/chips, glow tròn đầy đủ, không bị cắt (small p1 và large). Ở small p2 disc trượt dưới header là do cuộn.</t>
        </is>
      </c>
      <c r="H115" s="8" t="inlineStr">
        <is>
          <t>Screenshot/Video: screens/21-power_teaser-small-p1.png, screens/21-power_teaser-large.png</t>
        </is>
      </c>
    </row>
    <row r="116">
      <c r="A116" s="4" t="inlineStr">
        <is>
          <t>witch-power</t>
        </is>
      </c>
      <c r="B116" s="4" t="n">
        <v>6</v>
      </c>
      <c r="C116" s="4" t="inlineStr">
        <is>
          <t>Paywall 1</t>
        </is>
      </c>
      <c r="D116" s="10" t="inlineStr">
        <is>
          <t>Low</t>
        </is>
      </c>
      <c r="E116" s="8" t="inlineStr">
        <is>
          <t>[UI][Paywall 1] Hero hiển thị trăng khuyết thay vì glyph power trên chart wheel</t>
        </is>
      </c>
      <c r="F116" s="9" t="inlineStr">
        <is>
          <t>Fixed</t>
        </is>
      </c>
      <c r="G116" s="8" t="inlineStr">
        <is>
          <t>Hero paywall hiển thị glyph 👁️ (Seer) ở giữa chart wheel, kèm 4 fact chips (Your power, Sun, Moon, Rising).</t>
        </is>
      </c>
      <c r="H116" s="8" t="inlineStr">
        <is>
          <t>Screenshot/Video: screens/22-paywall-small-p1.png, screens/22-paywall-large-p1.png</t>
        </is>
      </c>
    </row>
    <row r="117">
      <c r="A117" s="4" t="inlineStr">
        <is>
          <t>witch-power</t>
        </is>
      </c>
      <c r="B117" s="4" t="n">
        <v>7</v>
      </c>
      <c r="C117" s="4" t="inlineStr">
        <is>
          <t>Paywall 1</t>
        </is>
      </c>
      <c r="D117" s="7" t="inlineStr">
        <is>
          <t>High</t>
        </is>
      </c>
      <c r="E117" s="8" t="inlineStr">
        <is>
          <t>[UI][Paywall 1] Footer thiếu thông tin entity</t>
        </is>
      </c>
      <c r="F117" s="13" t="inlineStr">
        <is>
          <t>Cần PM</t>
        </is>
      </c>
      <c r="G117" s="8" t="inlineStr">
        <is>
          <t>Footer vẫn chỉ có "Terms of Use · Privacy Policy · Subscription terms" và "For entertainment purposes only.", chưa có tên pháp nhân/địa chỉ. Khớp trạng thái dev báo (chờ PM cung cấp thông tin entity).</t>
        </is>
      </c>
      <c r="H117" s="8" t="inlineStr">
        <is>
          <t>Screenshot/Video: screens/22-paywall-small-p4.png, screens/22-paywall-large-p4.png</t>
        </is>
      </c>
    </row>
    <row r="118">
      <c r="A118" s="4" t="inlineStr">
        <is>
          <t>witch-power</t>
        </is>
      </c>
      <c r="B118" s="4" t="n">
        <v>8</v>
      </c>
      <c r="C118" s="4" t="inlineStr">
        <is>
          <t>Download App</t>
        </is>
      </c>
      <c r="D118" s="11" t="inlineStr">
        <is>
          <t>Medium</t>
        </is>
      </c>
      <c r="E118" s="8" t="inlineStr">
        <is>
          <t>[UI][Download App] Badge App Store / Google Play dùng icon generic, không phải logo chính thức</t>
        </is>
      </c>
      <c r="F118" s="9" t="inlineStr">
        <is>
          <t>Fixed</t>
        </is>
      </c>
      <c r="G118" s="8" t="inlineStr">
        <is>
          <t>Badge dùng logo Apple và Google Play chính thức.</t>
        </is>
      </c>
      <c r="H118" s="8" t="inlineStr">
        <is>
          <t>Screenshot/Video: screens/24-get_app-small.png, screens/24-get_app-large.png</t>
        </is>
      </c>
    </row>
  </sheetData>
  <autoFilter ref="A1:H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4" customWidth="1" min="3" max="3"/>
    <col width="10" customWidth="1" min="4" max="4"/>
    <col width="10" customWidth="1" min="5" max="5"/>
    <col width="50" customWidth="1" min="6" max="6"/>
    <col width="55" customWidth="1" min="7" max="7"/>
    <col width="55" customWidth="1" min="8" max="8"/>
    <col width="30" customWidth="1" min="9" max="9"/>
    <col width="13" customWidth="1" min="10" max="10"/>
  </cols>
  <sheetData>
    <row r="1">
      <c r="A1" s="2" t="inlineStr">
        <is>
          <t>#</t>
        </is>
      </c>
      <c r="B1" s="2" t="inlineStr">
        <is>
          <t>Funnel</t>
        </is>
      </c>
      <c r="C1" s="2" t="inlineStr">
        <is>
          <t>Screen</t>
        </is>
      </c>
      <c r="D1" s="2" t="inlineStr">
        <is>
          <t>Severity</t>
        </is>
      </c>
      <c r="E1" s="2" t="inlineStr">
        <is>
          <t>Loại</t>
        </is>
      </c>
      <c r="F1" s="2" t="inlineStr">
        <is>
          <t>Title</t>
        </is>
      </c>
      <c r="G1" s="2" t="inlineStr">
        <is>
          <t>Actual Result</t>
        </is>
      </c>
      <c r="H1" s="2" t="inlineStr">
        <is>
          <t>Expected Result</t>
        </is>
      </c>
      <c r="I1" s="2" t="inlineStr">
        <is>
          <t>Attachment</t>
        </is>
      </c>
      <c r="J1" s="2" t="inlineStr">
        <is>
          <t>Status</t>
        </is>
      </c>
    </row>
    <row r="2">
      <c r="A2" s="4" t="n">
        <v>1</v>
      </c>
      <c r="B2" s="4" t="inlineStr">
        <is>
          <t>astrocartography</t>
        </is>
      </c>
      <c r="C2" s="4" t="inlineStr">
        <is>
          <t>Intro 6</t>
        </is>
      </c>
      <c r="D2" s="10" t="inlineStr">
        <is>
          <t>Low</t>
        </is>
      </c>
      <c r="E2" s="4" t="inlineStr">
        <is>
          <t>Bug mới</t>
        </is>
      </c>
      <c r="F2" s="8" t="inlineStr">
        <is>
          <t>[UI][Intro 6] Select Month/Day/Year không có chevron dropdown</t>
        </is>
      </c>
      <c r="G2" s="8" t="inlineStr">
        <is>
          <t>- 3 ô Month / Day / Year (id: 6) chỉ hiển thị placeholder, không có chevron hay affordance dropdown nào, trên cả small và large. Commit fix ghi "chevrons on date selects" và aura-tarot đã có chevron, nhưng astrocartography chưa được áp dụng nên không đồng nhất giữa các funnel Starlyn. Chưa log ở lượt 1.</t>
        </is>
      </c>
      <c r="H2" s="8" t="inlineStr">
        <is>
          <t>- Select ngày sinh hiển thị chevron dropdown giống các funnel Starlyn đã fix (vd. aura-tarot) – Cần đối chiếu Figma.</t>
        </is>
      </c>
      <c r="I2" s="8" t="inlineStr">
        <is>
          <t>Screenshot/Video: screens/06-6-small.png, screens/06-6-large.png</t>
        </is>
      </c>
      <c r="J2" s="7" t="inlineStr">
        <is>
          <t>New</t>
        </is>
      </c>
    </row>
    <row r="3">
      <c r="A3" s="4" t="n">
        <v>2</v>
      </c>
      <c r="B3" s="4" t="inlineStr">
        <is>
          <t>astrocartography</t>
        </is>
      </c>
      <c r="C3" s="4" t="inlineStr">
        <is>
          <t>Intro 11</t>
        </is>
      </c>
      <c r="D3" s="7" t="inlineStr">
        <is>
          <t>High</t>
        </is>
      </c>
      <c r="E3" s="4" t="inlineStr">
        <is>
          <t>Bug mới</t>
        </is>
      </c>
      <c r="F3" s="8" t="inlineStr">
        <is>
          <t>[Logic][Intro 11] Headline "Chicago sits between your lines" mâu thuẫn với card "Near Chicago: your Venus line" ở Intro 18</t>
        </is>
      </c>
      <c r="G3" s="8" t="inlineStr">
        <is>
          <t>- Với data test (current city Chicago), Intro 11 (id: 11) hiển thị "Chicago sits between your lines" (nghĩa là không có line nào gần), nhưng map zoom của chính màn này vẫn vẽ một line chạy sát pin, và Intro 18 (id: 18) lại mở card "Near Chicago: your Venus line – Venus ASC · love and beauty come easier here...", nên user thấy hai kết quả trái ngược. Không phải regression: lỗi đã có từ lượt 1 nhưng bị sót.</t>
        </is>
      </c>
      <c r="H3" s="8" t="inlineStr">
        <is>
          <t>- Kết quả về line gần current city phải nhất quán giữa Intro 11 và Intro 18 (brief #11: 0 line thì "{{current_city}} sits between your lines"; brief #18: card mở "one real result (the line nearest home)"). Copy của #18 khi không có line trong orb – Spec chưa định nghĩa – cần PM confirm.</t>
        </is>
      </c>
      <c r="I3" s="8" t="inlineStr">
        <is>
          <t>Screenshot/Video: screens/11-11-small.png, screens/11-11-large.png, screens/18-18-small-p1.png, screens/18-18-large.png</t>
        </is>
      </c>
      <c r="J3" s="7" t="inlineStr">
        <is>
          <t>New</t>
        </is>
      </c>
    </row>
    <row r="4">
      <c r="A4" s="4" t="n">
        <v>3</v>
      </c>
      <c r="B4" s="4" t="inlineStr">
        <is>
          <t>astrocartography</t>
        </is>
      </c>
      <c r="C4" s="4" t="inlineStr">
        <is>
          <t>Intro 20</t>
        </is>
      </c>
      <c r="D4" s="10" t="inlineStr">
        <is>
          <t>Low</t>
        </is>
      </c>
      <c r="E4" s="4" t="inlineStr">
        <is>
          <t>Bug mới</t>
        </is>
      </c>
      <c r="F4" s="8" t="inlineStr">
        <is>
          <t>[UI][Intro 20] Dấu chấm cuối dòng legal bị tách khỏi link "Privacy Policy"</t>
        </is>
      </c>
      <c r="G4" s="8" t="inlineStr">
        <is>
          <t>- Sau khi tăng vùng bấm của link legal, dòng "By continuing, you agree to our Terms &amp; Privacy Policy." ở Intro 20 (id: 20) hiển thị dấu "." cách hẳn chữ "Policy" ("Privacy Policy ."); khoảng cách quanh "&amp;" ở Intro 1 (id: 1) và Intro 20 cũng rộng hơn khoảng cách chữ bình thường. Regression nhỏ từ fix bug #1.</t>
        </is>
      </c>
      <c r="H4" s="8" t="inlineStr">
        <is>
          <t>- Dấu chấm liền sau "Policy" và khoảng cách quanh "&amp;" như text thường, vùng bấm 44px không làm thay đổi spacing của dòng chữ (như cách aura-tarot giữ nguyên dòng) – Cần Designer confirm.</t>
        </is>
      </c>
      <c r="I4" s="8" t="inlineStr">
        <is>
          <t>Screenshot/Video: screens/20-20-small.png, screens/20-20-large.png, screens/01-1-small.png</t>
        </is>
      </c>
      <c r="J4" s="7" t="inlineStr">
        <is>
          <t>New</t>
        </is>
      </c>
    </row>
    <row r="5">
      <c r="A5" s="4" t="n">
        <v>4</v>
      </c>
      <c r="B5" s="4" t="inlineStr">
        <is>
          <t>aura-tarot</t>
        </is>
      </c>
      <c r="C5" s="4" t="inlineStr">
        <is>
          <t>Intro 2</t>
        </is>
      </c>
      <c r="D5" s="10" t="inlineStr">
        <is>
          <t>Low</t>
        </is>
      </c>
      <c r="E5" s="4" t="inlineStr">
        <is>
          <t>Bug mới</t>
        </is>
      </c>
      <c r="F5" s="8" t="inlineStr">
        <is>
          <t>[UI][Intro 2] Headline nằm sát progress bar mới, gần như không có khoảng cách</t>
        </is>
      </c>
      <c r="G5" s="8" t="inlineStr">
        <is>
          <t>- Progress bar mới thêm ở header nằm ngay trên headline, khoảng cách chỉ ~6–8pt (vd. "How do you feel right now?", "Which color pulls you in?", "When were you born?", "Pick three cards"), trên mọi màn có header Intro 2–7, 9–12, 16–18, cả small và large; nhìn chật so với khoảng cách headline–body bên dưới.</t>
        </is>
      </c>
      <c r="H5" s="8" t="inlineStr">
        <is>
          <t>- Có khoảng cách rõ giữa progress bar và headline – Cần đối chiếu Figma (giá trị spacing).</t>
        </is>
      </c>
      <c r="I5" s="8" t="inlineStr">
        <is>
          <t>Screenshot/Video: screens/02-energy_now-small.png, screens/02-energy_now-large.png, screens/09-color_pull-small.png, screens/11-birth_date-small.png, screens/16-pull-small.png</t>
        </is>
      </c>
      <c r="J5" s="7" t="inlineStr">
        <is>
          <t>New</t>
        </is>
      </c>
    </row>
    <row r="6">
      <c r="A6" s="4" t="n">
        <v>5</v>
      </c>
      <c r="B6" s="4" t="inlineStr">
        <is>
          <t>aura-tarot</t>
        </is>
      </c>
      <c r="C6" s="4" t="inlineStr">
        <is>
          <t>Intro 8</t>
        </is>
      </c>
      <c r="D6" s="11" t="inlineStr">
        <is>
          <t>Medium</t>
        </is>
      </c>
      <c r="E6" s="4" t="inlineStr">
        <is>
          <t>Bug mới</t>
        </is>
      </c>
      <c r="F6" s="8" t="inlineStr">
        <is>
          <t>[UI/UX][Intro 8] Progress bar nhảy lên 100% ở màn bridge rồi tụt về 7/10 ở màn sau</t>
        </is>
      </c>
      <c r="G6" s="8" t="inlineStr">
        <is>
          <t>- Intro 7 hiển thị "6/10" (bar ~60%), Intro 8 "Your colors are showing" hiển thị progress bar full 100% và không có bộ đếm, sang Intro 9 bar tụt về ~70% với "7/10", khiến user tưởng đã xong rồi lại bị lùi. Chọn Medium thay vì High vì màn bridge không hiển thị số đếm.</t>
        </is>
      </c>
      <c r="H6" s="8" t="inlineStr">
        <is>
          <t>- Progress bar tăng dần liên tục giữa các màn (vd. giữ ~60–65% hoặc ẩn bar ở màn bridge) – Spec chưa định nghĩa – cần PM/Designer confirm.</t>
        </is>
      </c>
      <c r="I6" s="8" t="inlineStr">
        <is>
          <t>Screenshot/Video: screens/07-crave-small.png, screens/08-bridge-small.png, screens/08-bridge-large.png, screens/09-color_pull-small.png</t>
        </is>
      </c>
      <c r="J6" s="7" t="inlineStr">
        <is>
          <t>New</t>
        </is>
      </c>
    </row>
    <row r="7">
      <c r="A7" s="4" t="n">
        <v>6</v>
      </c>
      <c r="B7" s="4" t="inlineStr">
        <is>
          <t>aura-tarot</t>
        </is>
      </c>
      <c r="C7" s="4" t="inlineStr">
        <is>
          <t>Intro 9</t>
        </is>
      </c>
      <c r="D7" s="11" t="inlineStr">
        <is>
          <t>Medium</t>
        </is>
      </c>
      <c r="E7" s="4" t="inlineStr">
        <is>
          <t>Bug cũ</t>
        </is>
      </c>
      <c r="F7" s="8" t="inlineStr">
        <is>
          <t>[UI][Intro 9] Các orb màu chưa chọn bị cắt vuông 4 cạnh và có vệt tối hình lưỡi liềm</t>
        </is>
      </c>
      <c r="G7" s="8" t="inlineStr">
        <is>
          <t>- Retest lượt 2: vệt tối lưỡi liềm đã gần hết, nhưng 5 orb chưa chọn (Red, Amber, Green, Blue, Violet) ở màn chọn màu (id: color_pull) vẫn bị cắt phẳng ở mép trái/phải/trên/dưới, không tròn trọn vẹn; chỉ orb đang chọn (Indigo, viền vàng) tròn đúng. Xảy ra cả small và large.</t>
        </is>
      </c>
      <c r="H7" s="8" t="inlineStr">
        <is>
          <t>- Theo Spec #9: "Six large color orbs ... each glowing softly in its own color" – mọi orb cần hiển thị tròn trọn vẹn với glow mềm, không bị cắt.</t>
        </is>
      </c>
      <c r="I7" s="8" t="inlineStr">
        <is>
          <t>Screenshot/Video: screens/09-color_pull-small.png, screens/09-color_pull-large.png</t>
        </is>
      </c>
      <c r="J7" s="12" t="inlineStr">
        <is>
          <t>Partly fixed</t>
        </is>
      </c>
    </row>
    <row r="8">
      <c r="A8" s="4" t="n">
        <v>7</v>
      </c>
      <c r="B8" s="4" t="inlineStr">
        <is>
          <t>aura-tarot</t>
        </is>
      </c>
      <c r="C8" s="4" t="inlineStr">
        <is>
          <t>Intro 19</t>
        </is>
      </c>
      <c r="D8" s="11" t="inlineStr">
        <is>
          <t>Medium</t>
        </is>
      </c>
      <c r="E8" s="4" t="inlineStr">
        <is>
          <t>Bug cũ</t>
        </is>
      </c>
      <c r="F8" s="8" t="inlineStr">
        <is>
          <t>[UI][Intro 19] Ảnh hero vẫn còn 2 đường kẻ dọc mờ ở mép trái/phải (bug cũ #1)</t>
        </is>
      </c>
      <c r="G8" s="8" t="inlineStr">
        <is>
          <t>- Retest lượt 2: khung/viền lạ ở Intro 1 và Intro 14 đã hết, nhưng ảnh hero Intro 19 (id: teaser) vẫn còn 2 đường kẻ dọc mảnh, mờ ở mép trái và mép phải ảnh, cả small và large; Intro 14 còn một vệt dọc rất mờ ở mép phải.</t>
        </is>
      </c>
      <c r="H8" s="8" t="inlineStr">
        <is>
          <t>- Ảnh hero chỉ hiển thị halo quanh silhouette trên nền sao, không có đường kẻ/khung lạ (Spec Visual #14, #19). Cần đối chiếu Figma.</t>
        </is>
      </c>
      <c r="I8" s="8" t="inlineStr">
        <is>
          <t>Screenshot/Video: screens/01-hook-small.png, screens/01-hook-large.png, screens/14-aura_reveal-large.png, screens/19-teaser-large.png, screens/19-teaser-small-p1.png</t>
        </is>
      </c>
      <c r="J8" s="12" t="inlineStr">
        <is>
          <t>Partly fixed</t>
        </is>
      </c>
    </row>
    <row r="9">
      <c r="A9" s="4" t="n">
        <v>8</v>
      </c>
      <c r="B9" s="4" t="inlineStr">
        <is>
          <t>aura-tarot</t>
        </is>
      </c>
      <c r="C9" s="4" t="inlineStr">
        <is>
          <t>Paywall 1</t>
        </is>
      </c>
      <c r="D9" s="7" t="inlineStr">
        <is>
          <t>High</t>
        </is>
      </c>
      <c r="E9" s="4" t="inlineStr">
        <is>
          <t>Bug cũ</t>
        </is>
      </c>
      <c r="F9" s="8" t="inlineStr">
        <is>
          <t>[UI][Paywall 1] Footer thiếu thông tin entity (tên pháp nhân)</t>
        </is>
      </c>
      <c r="G9" s="8" t="inlineStr">
        <is>
          <t>- Footer chỉ hiển thị "Terms of Use", "Privacy Policy", "Subscription terms", "Support: support@starlyn.co" và "For entertainment purposes only."; không thấy tên pháp nhân/entity.</t>
        </is>
      </c>
      <c r="H9" s="8" t="inlineStr">
        <is>
          <t>- Theo Spec #20 mục 9: "Footer: legal links, entity, entertainment disclaimer." Cần PM confirm nếu entity đang ẩn do chưa cấu hình.</t>
        </is>
      </c>
      <c r="I9" s="8" t="inlineStr">
        <is>
          <t>Screenshot/Video: screens/20-paywall-small-p4.png, screens/20-paywall-large-p4.png</t>
        </is>
      </c>
      <c r="J9" s="13" t="inlineStr">
        <is>
          <t>Cần PM</t>
        </is>
      </c>
    </row>
    <row r="10">
      <c r="A10" s="4" t="n">
        <v>9</v>
      </c>
      <c r="B10" s="4" t="inlineStr">
        <is>
          <t>aura-tarot</t>
        </is>
      </c>
      <c r="C10" s="4" t="inlineStr">
        <is>
          <t>Upsale 1</t>
        </is>
      </c>
      <c r="D10" s="10" t="inlineStr">
        <is>
          <t>Low</t>
        </is>
      </c>
      <c r="E10" s="4" t="inlineStr">
        <is>
          <t>Bug mới</t>
        </is>
      </c>
      <c r="F10" s="8" t="inlineStr">
        <is>
          <t>[UI][Responsive][Upsale 1] Microcopy dưới report card bị đẩy xuống dưới CTA trên màn hình nhỏ</t>
        </is>
      </c>
      <c r="G10" s="8" t="inlineStr">
        <is>
          <t>- Trên small 375×667, ở viewport đầu dòng "Paid once through secure checkout. No subscription." dưới report card không hiển thị (CTA "Add for $19.99" nằm ngay dưới card), chỉ thấy sau khi cuộn; trên large dòng này hiển thị ngay dưới card. Low vì price row đã có "Paid once · no subscription".</t>
        </is>
      </c>
      <c r="H10" s="8" t="inlineStr">
        <is>
          <t>- Microcopy hiển thị dưới card (brief #21: Under the card) và thấy được ở viewport đầu trên màn nhỏ – Spec chưa định nghĩa cho màn nhỏ – cần PM/Designer confirm.</t>
        </is>
      </c>
      <c r="I10" s="8" t="inlineStr">
        <is>
          <t>Screenshot/Video: screens/21-report_upsell-small-p1.png, screens/21-report_upsell-small-p2.png, screens/21-report_upsell-large.png</t>
        </is>
      </c>
      <c r="J10" s="7" t="inlineStr">
        <is>
          <t>New</t>
        </is>
      </c>
    </row>
    <row r="11">
      <c r="A11" s="4" t="n">
        <v>10</v>
      </c>
      <c r="B11" s="4" t="inlineStr">
        <is>
          <t>ex-compatibility</t>
        </is>
      </c>
      <c r="C11" s="4" t="inlineStr">
        <is>
          <t>Intro 2</t>
        </is>
      </c>
      <c r="D11" s="10" t="inlineStr">
        <is>
          <t>Low</t>
        </is>
      </c>
      <c r="E11" s="4" t="inlineStr">
        <is>
          <t>Bug mới</t>
        </is>
      </c>
      <c r="F11" s="8" t="inlineStr">
        <is>
          <t>[UI][Intro 2] Counter "n/14" lệch ra ngoài mép phải progress bar mới, progress bar sát headline</t>
        </is>
      </c>
      <c r="G11" s="8" t="inlineStr">
        <is>
          <t>- Trên header các màn câu hỏi (Intro 2, 3, 5–13, 15–17), counter "1/14"…"14/14" có mép phải lệch ra ngoài mép phải của progress bar mới khoảng 7–8pt (progress bar và nội dung căn lề 20pt, counter chỉ cách mép màn ~12pt); progress bar cũng nằm khá sát headline bên dưới (~12pt), cả small và large.</t>
        </is>
      </c>
      <c r="H11" s="8" t="inlineStr">
        <is>
          <t>- Counter và progress bar cần căn cùng lề phải, có khoảng cách rõ giữa progress bar và headline – Cần đối chiếu Figma (giá trị spacing).</t>
        </is>
      </c>
      <c r="I11" s="8" t="inlineStr">
        <is>
          <t>Screenshot/Video: screens/02-gender-small.png, screens/02-gender-large.png, screens/12-contact-small.png, screens/17-fate_2-small.png</t>
        </is>
      </c>
      <c r="J11" s="7" t="inlineStr">
        <is>
          <t>New</t>
        </is>
      </c>
    </row>
    <row r="12">
      <c r="A12" s="4" t="n">
        <v>11</v>
      </c>
      <c r="B12" s="4" t="inlineStr">
        <is>
          <t>ex-compatibility</t>
        </is>
      </c>
      <c r="C12" s="4" t="inlineStr">
        <is>
          <t>Paywall 1</t>
        </is>
      </c>
      <c r="D12" s="7" t="inlineStr">
        <is>
          <t>High</t>
        </is>
      </c>
      <c r="E12" s="4" t="inlineStr">
        <is>
          <t>Bug cũ</t>
        </is>
      </c>
      <c r="F12" s="8" t="inlineStr">
        <is>
          <t>[UI][Paywall 1] Footer thiếu tên pháp nhân (entity) theo spec</t>
        </is>
      </c>
      <c r="G12" s="8" t="inlineStr">
        <is>
          <t>- [Lượt 2] Footer vẫn chỉ có "Terms of Use" · "Privacy Policy" · "Subscription terms" và "For entertainment purposes only.", chưa có tên pháp nhân. Đúng như dev báo, chờ PM cung cấp entity.</t>
        </is>
      </c>
      <c r="H12" s="8" t="inlineStr">
        <is>
          <t>- Theo spec mục 22 – section 9 "Footer: legal links, entity, entertainment disclaimer": footer cần hiển thị tên pháp nhân bên cạnh legal links và disclaimer.</t>
        </is>
      </c>
      <c r="I12" s="8" t="inlineStr">
        <is>
          <t>Screenshot/Video: screens/22-paywall-small-p4.png, screens/22-paywall-large-p4.png</t>
        </is>
      </c>
      <c r="J12" s="13" t="inlineStr">
        <is>
          <t>Cần PM</t>
        </is>
      </c>
    </row>
    <row r="13">
      <c r="A13" s="4" t="n">
        <v>12</v>
      </c>
      <c r="B13" s="4" t="inlineStr">
        <is>
          <t>ex-compatibility</t>
        </is>
      </c>
      <c r="C13" s="4" t="inlineStr">
        <is>
          <t>Paywall 1</t>
        </is>
      </c>
      <c r="D13" s="10" t="inlineStr">
        <is>
          <t>Low</t>
        </is>
      </c>
      <c r="E13" s="4" t="inlineStr">
        <is>
          <t>Bug mới</t>
        </is>
      </c>
      <c r="F13" s="8" t="inlineStr">
        <is>
          <t>[UI][Paywall 1] Ảnh hero hiển thị thành dải chữ nhật cắt cứng, wheel bị cắt phẳng ở đáy</t>
        </is>
      </c>
      <c r="G13" s="8" t="inlineStr">
        <is>
          <t>- Ảnh hero Paywall 1 hiển thị thành một dải chữ nhật full-width ngay dưới subtitle: cạnh trên có đường nối màu nền rõ (nền khối headline tối hơn nền ảnh) và cạnh dưới cắt phẳng ngang qua vạch chia của 2 wheel; tương tự ở hero Intro 20 (dưới header, đáy cắt phẳng qua wheel), cả small và large. Có thể đã tồn tại từ lượt 1 nhưng chưa được log.</t>
        </is>
      </c>
      <c r="H13" s="8" t="inlineStr">
        <is>
          <t>- Spec #22 Hero: "the two wheels" – ảnh hero cần fade mềm vào nền, không thấy cạnh cắt cứng/wheel bị cắt – Cần đối chiếu Figma (crop/fade của hero).</t>
        </is>
      </c>
      <c r="I13" s="8" t="inlineStr">
        <is>
          <t>Screenshot/Video: screens/22-paywall-small-p1.png, screens/22-paywall-large-p1.png, screens/20-result_teaser-small-p1.png, screens/20-result_teaser-large.png</t>
        </is>
      </c>
      <c r="J13" s="7" t="inlineStr">
        <is>
          <t>New</t>
        </is>
      </c>
    </row>
    <row r="14">
      <c r="A14" s="4" t="n">
        <v>13</v>
      </c>
      <c r="B14" s="4" t="inlineStr">
        <is>
          <t>ex-compatibility</t>
        </is>
      </c>
      <c r="C14" s="4" t="inlineStr">
        <is>
          <t>Download App</t>
        </is>
      </c>
      <c r="D14" s="10" t="inlineStr">
        <is>
          <t>Low</t>
        </is>
      </c>
      <c r="E14" s="4" t="inlineStr">
        <is>
          <t>Bug cũ</t>
        </is>
      </c>
      <c r="F14" s="8" t="inlineStr">
        <is>
          <t>[UI][Download App] Badge Google Play dùng logo Play outline đơn sắc, không phải badge chính thức</t>
        </is>
      </c>
      <c r="G14" s="8" t="inlineStr">
        <is>
          <t>- [Lượt 2] Badge "Download on the App Store" đã đúng dạng badge chính thức. Badge "GET IT ON Google Play" có layout giống badge chính thức nhưng logo Play là tam giác outline trắng đơn sắc, không phải logo Google Play nhiều màu như artwork chính thức (hạ từ Medium xuống Low vì phần còn lại chỉ là chi tiết logo).</t>
        </is>
      </c>
      <c r="H14" s="8" t="inlineStr">
        <is>
          <t>- Spec mục 24 yêu cầu "App Store and Google Play badges"; cần dùng badge chính thức theo brand guideline của Apple/Google – cần Designer confirm.</t>
        </is>
      </c>
      <c r="I14" s="8" t="inlineStr">
        <is>
          <t>Screenshot/Video: screens/24-get_app-small.png, screens/24-get_app-large.png</t>
        </is>
      </c>
      <c r="J14" s="12" t="inlineStr">
        <is>
          <t>Partly fixed</t>
        </is>
      </c>
    </row>
    <row r="15">
      <c r="A15" s="4" t="n">
        <v>14</v>
      </c>
      <c r="B15" s="4" t="inlineStr">
        <is>
          <t>marriage-compatibility</t>
        </is>
      </c>
      <c r="C15" s="4" t="inlineStr">
        <is>
          <t>Intro 1</t>
        </is>
      </c>
      <c r="D15" s="11" t="inlineStr">
        <is>
          <t>Medium</t>
        </is>
      </c>
      <c r="E15" s="4" t="inlineStr">
        <is>
          <t>Bug cũ</t>
        </is>
      </c>
      <c r="F15" s="8" t="inlineStr">
        <is>
          <t>[UI][Intro 1] Hero art chưa đúng visual spec: thiếu 2 nhẫn vàng (Intro 1) và vòm sáng (Intro 20)</t>
        </is>
      </c>
      <c r="G15" s="8" t="inlineStr">
        <is>
          <t>- [Lượt 2] Đã có: 2 nhẫn vàng giữa 2 wheel ở hero Intro 1 và vòm sáng ở hero Intro 20 (đều là lớp vẽ chồng lên ảnh). Chưa: hero Paywall 1 và cover Upsale 1 vẫn là ảnh 2 wheel trơn, giống hệt funnel ex-compatibility (file img/hook-rings.jpg, result-window.jpg, paywall-hero.jpg trùng byte với ảnh của ex-compatibility; spec Notes ghi là placeholder chờ gen ảnh). Đồng ý với dev (Partly fixed).</t>
        </is>
      </c>
      <c r="H15" s="8" t="inlineStr">
        <is>
          <t>- Theo spec #1 Visual: wheels "with two small gold rings between them" (`img/hook-rings.jpg`); #20: "Wheels over a soft arch of light" (`img/result-window.jpg`). Spec Notes ghi ảnh hiện tại là placeholder – cần PM/Designer confirm thời điểm thay ảnh thật.</t>
        </is>
      </c>
      <c r="I15" s="8" t="inlineStr">
        <is>
          <t>Screenshot/Video: screens/01-hook-small.png, screens/20-window_teaser-large.png, screens/22-paywall-small-p1.png, screens/23-report_upsell-small-p1.png</t>
        </is>
      </c>
      <c r="J15" s="12" t="inlineStr">
        <is>
          <t>Partly fixed</t>
        </is>
      </c>
    </row>
    <row r="16">
      <c r="A16" s="4" t="n">
        <v>15</v>
      </c>
      <c r="B16" s="4" t="inlineStr">
        <is>
          <t>marriage-compatibility</t>
        </is>
      </c>
      <c r="C16" s="4" t="inlineStr">
        <is>
          <t>Intro 2</t>
        </is>
      </c>
      <c r="D16" s="10" t="inlineStr">
        <is>
          <t>Low</t>
        </is>
      </c>
      <c r="E16" s="4" t="inlineStr">
        <is>
          <t>Bug mới</t>
        </is>
      </c>
      <c r="F16" s="8" t="inlineStr">
        <is>
          <t>[UI][Intro 2] Counter "n/13" lệch ra ngoài mép phải progress bar mới, progress bar sát headline</t>
        </is>
      </c>
      <c r="G16" s="8" t="inlineStr">
        <is>
          <t>- Trên header các màn câu hỏi (Intro 2, 3, 5–14, 16, 17), counter "1/13"…"13/13" có mép phải lệch ra ngoài mép phải của progress bar mới khoảng 7–8pt (progress bar và nội dung căn lề 20pt, counter chỉ cách mép màn ~12pt); progress bar cũng nằm khá sát headline bên dưới (~12pt), cả small và large.</t>
        </is>
      </c>
      <c r="H16" s="8" t="inlineStr">
        <is>
          <t>- Counter và progress bar cần căn cùng lề phải, có khoảng cách rõ giữa progress bar và headline – Cần đối chiếu Figma (giá trị spacing).</t>
        </is>
      </c>
      <c r="I16" s="8" t="inlineStr">
        <is>
          <t>Screenshot/Video: screens/02-status-small.png, screens/02-status-large.png, screens/13-money-small.png, screens/17-timeline-small.png</t>
        </is>
      </c>
      <c r="J16" s="7" t="inlineStr">
        <is>
          <t>New</t>
        </is>
      </c>
    </row>
    <row r="17">
      <c r="A17" s="4" t="n">
        <v>16</v>
      </c>
      <c r="B17" s="4" t="inlineStr">
        <is>
          <t>marriage-compatibility</t>
        </is>
      </c>
      <c r="C17" s="4" t="inlineStr">
        <is>
          <t>Paywall 1</t>
        </is>
      </c>
      <c r="D17" s="7" t="inlineStr">
        <is>
          <t>High</t>
        </is>
      </c>
      <c r="E17" s="4" t="inlineStr">
        <is>
          <t>Bug cũ</t>
        </is>
      </c>
      <c r="F17" s="8" t="inlineStr">
        <is>
          <t>[UI][Paywall 1] Footer thiếu tên pháp nhân (entity) theo spec</t>
        </is>
      </c>
      <c r="G17" s="8" t="inlineStr">
        <is>
          <t>- [Lượt 2] Footer vẫn chỉ có "Terms of Use" · "Privacy Policy" · "Subscription terms" và "For entertainment purposes only.", chưa có tên pháp nhân. Đúng như dev báo, chờ PM cung cấp entity.</t>
        </is>
      </c>
      <c r="H17" s="8" t="inlineStr">
        <is>
          <t>- Theo spec mục 22 – section 9 "Footer: legal links, entity, entertainment disclaimer": footer cần hiển thị tên pháp nhân bên cạnh legal links và disclaimer.</t>
        </is>
      </c>
      <c r="I17" s="8" t="inlineStr">
        <is>
          <t>Screenshot/Video: screens/22-paywall-small-p4.png, screens/22-paywall-large-p4.png</t>
        </is>
      </c>
      <c r="J17" s="13" t="inlineStr">
        <is>
          <t>Cần PM</t>
        </is>
      </c>
    </row>
    <row r="18">
      <c r="A18" s="4" t="n">
        <v>17</v>
      </c>
      <c r="B18" s="4" t="inlineStr">
        <is>
          <t>marriage-compatibility</t>
        </is>
      </c>
      <c r="C18" s="4" t="inlineStr">
        <is>
          <t>Paywall 1</t>
        </is>
      </c>
      <c r="D18" s="10" t="inlineStr">
        <is>
          <t>Low</t>
        </is>
      </c>
      <c r="E18" s="4" t="inlineStr">
        <is>
          <t>Bug mới</t>
        </is>
      </c>
      <c r="F18" s="8" t="inlineStr">
        <is>
          <t>[UI][Paywall 1] Ảnh hero hiển thị thành dải chữ nhật cắt cứng, wheel bị cắt phẳng ở đáy</t>
        </is>
      </c>
      <c r="G18" s="8" t="inlineStr">
        <is>
          <t>- Ảnh hero Paywall 1 hiển thị thành một dải chữ nhật full-width ngay dưới subtitle: cạnh trên có đường nối màu nền rõ (nền khối headline tối hơn nền ảnh) và cạnh dưới cắt phẳng ngang qua vạch chia của 2 wheel; tương tự ở hero Intro 20 (dưới header, đáy cắt phẳng qua wheel và vòm sáng), cả small và large. Có thể đã tồn tại từ lượt 1 nhưng chưa được log.</t>
        </is>
      </c>
      <c r="H18" s="8" t="inlineStr">
        <is>
          <t>- Spec #22 Hero: "the wheels (`img/paywall-hero.jpg`)" – ảnh hero cần fade mềm vào nền, không thấy cạnh cắt cứng/wheel bị cắt – Cần đối chiếu Figma (crop/fade của hero).</t>
        </is>
      </c>
      <c r="I18" s="8" t="inlineStr">
        <is>
          <t>Screenshot/Video: screens/22-paywall-small-p1.png, screens/22-paywall-large-p1.png, screens/20-window_teaser-small-p1.png, screens/20-window_teaser-large.png</t>
        </is>
      </c>
      <c r="J18" s="7" t="inlineStr">
        <is>
          <t>New</t>
        </is>
      </c>
    </row>
    <row r="19">
      <c r="A19" s="4" t="n">
        <v>18</v>
      </c>
      <c r="B19" s="4" t="inlineStr">
        <is>
          <t>marriage-compatibility</t>
        </is>
      </c>
      <c r="C19" s="4" t="inlineStr">
        <is>
          <t>Download App</t>
        </is>
      </c>
      <c r="D19" s="10" t="inlineStr">
        <is>
          <t>Low</t>
        </is>
      </c>
      <c r="E19" s="4" t="inlineStr">
        <is>
          <t>Bug cũ</t>
        </is>
      </c>
      <c r="F19" s="8" t="inlineStr">
        <is>
          <t>[UI][Download App] Badge Google Play dùng logo Play outline đơn sắc, không phải badge chính thức</t>
        </is>
      </c>
      <c r="G19" s="8" t="inlineStr">
        <is>
          <t>- [Lượt 2] Badge "Download on the App Store" đã đúng dạng badge chính thức. Badge "GET IT ON Google Play" có layout giống badge chính thức nhưng logo Play là tam giác outline trắng đơn sắc, không phải logo Google Play nhiều màu như artwork chính thức (hạ từ Medium xuống Low vì phần còn lại chỉ là chi tiết logo).</t>
        </is>
      </c>
      <c r="H19" s="8" t="inlineStr">
        <is>
          <t>- Spec mục 24 yêu cầu "App Store and Google Play badges"; cần dùng badge chính thức theo brand guideline của Apple/Google – cần Designer confirm.</t>
        </is>
      </c>
      <c r="I19" s="8" t="inlineStr">
        <is>
          <t>Screenshot/Video: screens/24-get_app-small.png, screens/24-get_app-large.png</t>
        </is>
      </c>
      <c r="J19" s="12" t="inlineStr">
        <is>
          <t>Partly fixed</t>
        </is>
      </c>
    </row>
    <row r="20">
      <c r="A20" s="4" t="n">
        <v>19</v>
      </c>
      <c r="B20" s="4" t="inlineStr">
        <is>
          <t>moon-reading</t>
        </is>
      </c>
      <c r="C20" s="4" t="inlineStr">
        <is>
          <t>Intro 18</t>
        </is>
      </c>
      <c r="D20" s="10" t="inlineStr">
        <is>
          <t>Low</t>
        </is>
      </c>
      <c r="E20" s="4" t="inlineStr">
        <is>
          <t>Bug cũ</t>
        </is>
      </c>
      <c r="F20" s="8" t="inlineStr">
        <is>
          <t>[UI/UX][Intro 18] Câu "you feel through the people around you" bị lặp 3 lần</t>
        </is>
      </c>
      <c r="G20" s="8" t="inlineStr">
        <is>
          <t>- [Retest lượt 2: Partly fixed] Đã bỏ subtitle lặp trong card và lỗi chữ thường đầu câu; card giờ là "Moon in Libra" + 3 dòng Feel/Soothe/Drain. Nhưng câu dưới card "Moon in Libra — you feel through the people around you." vẫn lặp nguyên dòng Feel "through the people around you" (3 lần còn 2). Spec có cả card 3 dòng lẫn câu mẫu nên phần còn lại là copy – cần PM/Designer confirm có chấp nhận lặp hay đổi câu mẫu. Hạ Severity từ Medium xuống Low. Khớp với status Partly fixed dev báo.</t>
        </is>
      </c>
      <c r="H20" s="8" t="inlineStr">
        <is>
          <t>- Spec (Visual): card gồm glyph và 3 dòng ngắn (feel / soothe / drain) cùng một câu mẫu; không định nghĩa subtitle lặp trong card – cần PM/Designer confirm.</t>
        </is>
      </c>
      <c r="I20" s="8" t="inlineStr">
        <is>
          <t>Screenshot/Video: screens/18-18-small.png, screens/18-18-large.png</t>
        </is>
      </c>
      <c r="J20" s="12" t="inlineStr">
        <is>
          <t>Partly fixed</t>
        </is>
      </c>
    </row>
    <row r="21">
      <c r="A21" s="4" t="n">
        <v>20</v>
      </c>
      <c r="B21" s="4" t="inlineStr">
        <is>
          <t>moon-reading</t>
        </is>
      </c>
      <c r="C21" s="4" t="inlineStr">
        <is>
          <t>Intro 20</t>
        </is>
      </c>
      <c r="D21" s="10" t="inlineStr">
        <is>
          <t>Low</t>
        </is>
      </c>
      <c r="E21" s="4" t="inlineStr">
        <is>
          <t>Bug mới</t>
        </is>
      </c>
      <c r="F21" s="8" t="inlineStr">
        <is>
          <t>[UI][Intro 20] Dòng legal bị giãn khoảng: dấu "." tách rời khỏi "Privacy Policy", khoảng trắng quanh "&amp;" rộng bất thường</t>
        </is>
      </c>
      <c r="G21" s="8" t="inlineStr">
        <is>
          <t>- Sau khi nới vùng bấm link, dòng "By continuing, you agree to our Terms &amp; Privacy Policy." hiển thị khoảng trắng rộng trước/sau "Terms", quanh "&amp;" và dấu chấm cuối câu đứng tách riêng ("Privacy Policy ."), underline của "Privacy Policy" bị ngắt ở giữa; ở Intro 1 (không có dấu chấm) khoảng quanh "&amp;" cũng rộng hơn khoảng chữ thường. Lặp ở cả 2 viewport.</t>
        </is>
      </c>
      <c r="H21" s="8" t="inlineStr">
        <is>
          <t>- Giữ vùng bấm lớn nhưng khoảng cách chữ trong câu legal bình thường, dấu chấm liền sau "Privacy Policy" – Cần đối chiếu Figma.</t>
        </is>
      </c>
      <c r="I21" s="8" t="inlineStr">
        <is>
          <t>Screenshot/Video: screens/20-20-small.png, screens/20-20-large.png, screens/01-1-small.png</t>
        </is>
      </c>
      <c r="J21" s="7" t="inlineStr">
        <is>
          <t>New</t>
        </is>
      </c>
    </row>
    <row r="22">
      <c r="A22" s="4" t="n">
        <v>21</v>
      </c>
      <c r="B22" s="4" t="inlineStr">
        <is>
          <t>moon-reading</t>
        </is>
      </c>
      <c r="C22" s="4" t="inlineStr">
        <is>
          <t>Download App</t>
        </is>
      </c>
      <c r="D22" s="10" t="inlineStr">
        <is>
          <t>Low</t>
        </is>
      </c>
      <c r="E22" s="4" t="inlineStr">
        <is>
          <t>Bug cũ</t>
        </is>
      </c>
      <c r="F22" s="8" t="inlineStr">
        <is>
          <t>[UI][Download App] Badge "Download on the App Store" dùng icon không phải logo Apple</t>
        </is>
      </c>
      <c r="G22" s="8" t="inlineStr">
        <is>
          <t>- [Retest lượt 2: Partly fixed] Badge App Store đã dùng logo Apple chính thức. Badge Google Play vẫn là icon tam giác play outline trắng (đơn sắc), không phải logo Google Play nhiều màu như badge chính thức – bug cũ có nêu cả phần này. Dev báo Fixed, QA đánh Partly fixed (độ tin cậy trung bình, cần Designer confirm có chấp nhận badge đơn sắc). Hạ Severity xuống Low.</t>
        </is>
      </c>
      <c r="H22" s="8" t="inlineStr">
        <is>
          <t>- Spec (Visual): App Store và Google Play badges – nên dùng badge/logo chính thức của store – Cần đối chiếu Figma.</t>
        </is>
      </c>
      <c r="I22" s="8" t="inlineStr">
        <is>
          <t>Screenshot/Video: screens/23-23-small.png, screens/23-23-large.png</t>
        </is>
      </c>
      <c r="J22" s="12" t="inlineStr">
        <is>
          <t>Partly fixed</t>
        </is>
      </c>
    </row>
    <row r="23">
      <c r="A23" s="4" t="n">
        <v>22</v>
      </c>
      <c r="B23" s="4" t="inlineStr">
        <is>
          <t>palm-reading</t>
        </is>
      </c>
      <c r="C23" s="4" t="inlineStr">
        <is>
          <t>Paywall 1</t>
        </is>
      </c>
      <c r="D23" s="7" t="inlineStr">
        <is>
          <t>High</t>
        </is>
      </c>
      <c r="E23" s="4" t="inlineStr">
        <is>
          <t>Bug cũ</t>
        </is>
      </c>
      <c r="F23" s="8" t="inlineStr">
        <is>
          <t>[UI][Paywall 1] Thiếu section Rating + reviews và tên entity ở footer so với spec</t>
        </is>
      </c>
      <c r="G23" s="8" t="inlineStr">
        <is>
          <t>- [Retest lượt 2: Cần PM] Vẫn như lượt 1: sau "How it works" là FAQ "Good to know", không có section Rating + reviews; footer chỉ có "Terms of Use · Privacy Policy · Subscription terms", "Support: support@starlyn.co", "For entertainment purposes only.", không có tên pháp nhân. Spec (funnel-content.md đã update) vẫn ghi mục 5 "Rating + reviews" và mục 9 "Footer with legal links and entity" – cần PM chốt bỏ khỏi spec hay bổ sung. Khớp status dev báo.</t>
        </is>
      </c>
      <c r="H23" s="8" t="inlineStr">
        <is>
          <t>- Theo spec thứ tự section: "5. Rating + reviews (from CONFIG, placeholders until real)" và "9. Footer with legal links and entity". Nếu cố ý ẩn reviews khi chưa có data thật thì cần PM confirm.</t>
        </is>
      </c>
      <c r="I23" s="8" t="inlineStr">
        <is>
          <t>Screenshot/Video: screens/21-paywall-large-p2.png, screens/21-paywall-large-p3.png, screens/21-paywall-large-p4.png, screens/21-paywall-small-p4.png</t>
        </is>
      </c>
      <c r="J23" s="13" t="inlineStr">
        <is>
          <t>Cần PM</t>
        </is>
      </c>
    </row>
    <row r="24">
      <c r="A24" s="4" t="n">
        <v>23</v>
      </c>
      <c r="B24" s="4" t="inlineStr">
        <is>
          <t>palm-reading</t>
        </is>
      </c>
      <c r="C24" s="4" t="inlineStr">
        <is>
          <t>Paywall 1</t>
        </is>
      </c>
      <c r="D24" s="7" t="inlineStr">
        <is>
          <t>High</t>
        </is>
      </c>
      <c r="E24" s="4" t="inlineStr">
        <is>
          <t>Bug mới</t>
        </is>
      </c>
      <c r="F24" s="8" t="inlineStr">
        <is>
          <t>[UI/UX][Responsive][Paywall 1] Màn nhỏ không thấy CTA nào ở first view</t>
        </is>
      </c>
      <c r="G24" s="8" t="inlineStr">
        <is>
          <t>- Trên 375x667, first view chỉ có brand bar (chưa có mini CTA), hero ảnh tay + 4 fact chip và đầu plan card "1 week, then monthly – $13.67"; "Due today", button "Get my reading" và sticky bottom CTA đều không hiển thị vì plan block đang lộ một phần. Trên 430x932 CTA trong plan block thấy ngay first view. Có thể đã tồn tại từ lượt 1 nhưng chưa log; moon-reading đã fix cùng lỗi (#11) bằng cách hiện sticky bar ở first view.</t>
        </is>
      </c>
      <c r="H24" s="8" t="inlineStr">
        <is>
          <t>- Spec: sticky bottom CTA hiển thị khi không có plan block nào trên màn; cần CTA thấy được ở first view màn nhỏ, đồng nhất với cách xử lý đã fix ở moon-reading – cần PM/Designer confirm.</t>
        </is>
      </c>
      <c r="I24" s="8" t="inlineStr">
        <is>
          <t>Screenshot/Video: screens/21-paywall-small-p1.png, screens/21-paywall-large-p1.png</t>
        </is>
      </c>
      <c r="J24" s="7" t="inlineStr">
        <is>
          <t>New</t>
        </is>
      </c>
    </row>
    <row r="25">
      <c r="A25" s="4" t="n">
        <v>24</v>
      </c>
      <c r="B25" s="4" t="inlineStr">
        <is>
          <t>palm-reading</t>
        </is>
      </c>
      <c r="C25" s="4" t="inlineStr">
        <is>
          <t>Paywall 1</t>
        </is>
      </c>
      <c r="D25" s="11" t="inlineStr">
        <is>
          <t>Medium</t>
        </is>
      </c>
      <c r="E25" s="4" t="inlineStr">
        <is>
          <t>Bug mới</t>
        </is>
      </c>
      <c r="F25" s="8" t="inlineStr">
        <is>
          <t>[UI][Paywall 1] Sticky bottom bar và brand bar nền trong suốt, nội dung phía sau lộ ra</t>
        </is>
      </c>
      <c r="G25" s="8" t="inlineStr">
        <is>
          <t>- Khi cuộn tới FAQ trên 375x667, đường divider của FAQ chạy xuyên qua dòng "1 week, then monthly – $13.67 today" của sticky bottom bar, câu "Will I be charged again?" dính sát ngay trên bar không có viền/nền tách biệt. Brand bar phía trên cũng lộ mờ chip "PayPal" và heading phía sau. Cùng lỗi moon-reading #12 lượt 1 (đã fix ở moon).</t>
        </is>
      </c>
      <c r="H25" s="8" t="inlineStr">
        <is>
          <t>- Sticky bar và brand bar cần nền đặc che hết nội dung phía sau, đồng nhất với moon-reading – Cần đối chiếu Figma.</t>
        </is>
      </c>
      <c r="I25" s="8" t="inlineStr">
        <is>
          <t>Screenshot/Video: screens/21-paywall-small-p3.png, screens/21-paywall-small-p2.png, screens/21-paywall-large-p3.png</t>
        </is>
      </c>
      <c r="J25" s="7" t="inlineStr">
        <is>
          <t>New</t>
        </is>
      </c>
    </row>
    <row r="26">
      <c r="A26" s="4" t="n">
        <v>25</v>
      </c>
      <c r="B26" s="4" t="inlineStr">
        <is>
          <t>past-life</t>
        </is>
      </c>
      <c r="C26" s="4" t="inlineStr">
        <is>
          <t>Paywall 1</t>
        </is>
      </c>
      <c r="D26" s="7" t="inlineStr">
        <is>
          <t>High</t>
        </is>
      </c>
      <c r="E26" s="4" t="inlineStr">
        <is>
          <t>Bug cũ</t>
        </is>
      </c>
      <c r="F26" s="8" t="inlineStr">
        <is>
          <t>[UI][Paywall 1] Footer thiếu thông tin entity</t>
        </is>
      </c>
      <c r="G26" s="8" t="inlineStr">
        <is>
          <t>- Footer Paywall 1 chỉ có link Terms of Use / Privacy Policy / Subscription terms và dòng disclaimer, không có tên entity. [Lượt 2: Vẫn chưa có tên entity ở footer (chỉ có Terms of Use / Privacy Policy / Subscription terms + disclaimer). Đúng như dev ghi "Cần PM", chờ PM cung cấp tên pháp nhân.]</t>
        </is>
      </c>
      <c r="H26" s="8" t="inlineStr">
        <is>
          <t>- Theo brief (màn 18, mục 9): "Footer: legal links, entity, entertainment disclaimer".</t>
        </is>
      </c>
      <c r="I26" s="8" t="inlineStr">
        <is>
          <t>Screenshot/Video: screens/18-paywall-small-p4.png, screens/18-paywall-large-p4.png</t>
        </is>
      </c>
      <c r="J26" s="13" t="inlineStr">
        <is>
          <t>Cần PM</t>
        </is>
      </c>
    </row>
    <row r="27">
      <c r="A27" s="4" t="n">
        <v>26</v>
      </c>
      <c r="B27" s="4" t="inlineStr">
        <is>
          <t>past-life</t>
        </is>
      </c>
      <c r="C27" s="4" t="inlineStr">
        <is>
          <t>Upsale 1</t>
        </is>
      </c>
      <c r="D27" s="10" t="inlineStr">
        <is>
          <t>Low</t>
        </is>
      </c>
      <c r="E27" s="4" t="inlineStr">
        <is>
          <t>Bug mới</t>
        </is>
      </c>
      <c r="F27" s="8" t="inlineStr">
        <is>
          <t>[UI][Upsale 1] Label "STARLYN REPORT" và tên report đè lên nửa dưới medallion trong cover card</t>
        </is>
      </c>
      <c r="G27" s="8" t="inlineStr">
        <is>
          <t>- Sau khi fix crop, medallion trong cover card "Karmic Lessons Report" được thu nhỏ đặt giữa card, nên label "STARLYN REPORT" và tên "Karmic Lessons Report" nằm đè lên nửa dưới vòng era, che 2 chấm era dưới cùng (small và large).</t>
        </is>
      </c>
      <c r="H27" s="8" t="inlineStr">
        <is>
          <t>- Cần đối chiếu Figma: brief chỉ ghi ảnh dưới dark fade kèm label và tên report; chủ thể ảnh và text cần bố trí để không chồng lên nhau.</t>
        </is>
      </c>
      <c r="I27" s="8" t="inlineStr">
        <is>
          <t>Screenshot/Video: screens/19-report_upsell-small-p1.png, screens/19-report_upsell-large.png</t>
        </is>
      </c>
      <c r="J27" s="7" t="inlineStr">
        <is>
          <t>New</t>
        </is>
      </c>
    </row>
    <row r="28">
      <c r="A28" s="4" t="n">
        <v>27</v>
      </c>
      <c r="B28" s="4" t="inlineStr">
        <is>
          <t>past-life</t>
        </is>
      </c>
      <c r="C28" s="4" t="inlineStr">
        <is>
          <t>Download App</t>
        </is>
      </c>
      <c r="D28" s="10" t="inlineStr">
        <is>
          <t>Low</t>
        </is>
      </c>
      <c r="E28" s="4" t="inlineStr">
        <is>
          <t>Bug mới</t>
        </is>
      </c>
      <c r="F28" s="8" t="inlineStr">
        <is>
          <t>[UI][Download App] Icon trên badge Google Play là outline trắng đơn sắc, không phải logo chính thức</t>
        </is>
      </c>
      <c r="G28" s="8" t="inlineStr">
        <is>
          <t>- Badge "GET IT ON Google Play" dùng icon tam giác Play dạng outline trắng đơn sắc, trong khi badge App Store đã đổi sang logo Apple chính thức ở lượt fix này; lượt 1 không log điểm này nên có thể đã tồn tại từ trước.</t>
        </is>
      </c>
      <c r="H28" s="8" t="inlineStr">
        <is>
          <t>- Cần đối chiếu Figma: badge store cần dùng đúng asset badge chính thức của Google Play (logo Play nhiều màu).</t>
        </is>
      </c>
      <c r="I28" s="8" t="inlineStr">
        <is>
          <t>Screenshot/Video: screens/20-get_app-small.png, screens/20-get_app-large.png</t>
        </is>
      </c>
      <c r="J28" s="7" t="inlineStr">
        <is>
          <t>New</t>
        </is>
      </c>
    </row>
    <row r="29">
      <c r="A29" s="4" t="n">
        <v>28</v>
      </c>
      <c r="B29" s="4" t="inlineStr">
        <is>
          <t>soulmate-sketch</t>
        </is>
      </c>
      <c r="C29" s="4" t="inlineStr">
        <is>
          <t>Paywall 1</t>
        </is>
      </c>
      <c r="D29" s="10" t="inlineStr">
        <is>
          <t>Low</t>
        </is>
      </c>
      <c r="E29" s="4" t="inlineStr">
        <is>
          <t>Bug mới</t>
        </is>
      </c>
      <c r="F29" s="8" t="inlineStr">
        <is>
          <t>[UI][Paywall 1] Sticky header không sát mép trên, hở một dải nền sao phía trên</t>
        </is>
      </c>
      <c r="G29" s="8" t="inlineStr">
        <is>
          <t>- Ở Paywall 1 (id: 22), phía trên sticky brand bar có một dải cao khoảng 6px vẫn thấy nền sao (màu khác header, có chấm sao), lặp lại ở mọi vị trí cuộn trên cả small và large; Paywall của past-life không có dải này. Lượt 1 không log nên chưa rõ có từ trước hay do fix header.</t>
        </is>
      </c>
      <c r="H29" s="8" t="inlineStr">
        <is>
          <t>- Cần đối chiếu Figma: sticky header cần sát mép trên viewport, không để lộ nền phía sau.</t>
        </is>
      </c>
      <c r="I29" s="8" t="inlineStr">
        <is>
          <t>Screenshot/Video: screens/22-22-small-p1.png, screens/22-22-small-p3.png, screens/22-22-large-p1.png, screens/22-22-large-p3.png</t>
        </is>
      </c>
      <c r="J29" s="7" t="inlineStr">
        <is>
          <t>New</t>
        </is>
      </c>
    </row>
    <row r="30">
      <c r="A30" s="4" t="n">
        <v>29</v>
      </c>
      <c r="B30" s="4" t="inlineStr">
        <is>
          <t>soulmate-sketch</t>
        </is>
      </c>
      <c r="C30" s="4" t="inlineStr">
        <is>
          <t>Download App</t>
        </is>
      </c>
      <c r="D30" s="10" t="inlineStr">
        <is>
          <t>Low</t>
        </is>
      </c>
      <c r="E30" s="4" t="inlineStr">
        <is>
          <t>Bug mới</t>
        </is>
      </c>
      <c r="F30" s="8" t="inlineStr">
        <is>
          <t>[UI][Download App] Icon trên badge Google Play là outline trắng đơn sắc, không phải logo chính thức</t>
        </is>
      </c>
      <c r="G30" s="8" t="inlineStr">
        <is>
          <t>- Badge "GET IT ON Google Play" dùng icon tam giác Play dạng outline trắng đơn sắc, trong khi badge App Store đã đổi sang logo Apple chính thức ở lượt fix này; lượt 1 không log điểm này nên có thể đã tồn tại từ trước.</t>
        </is>
      </c>
      <c r="H30" s="8" t="inlineStr">
        <is>
          <t>- Cần đối chiếu Figma: badge store cần dùng đúng asset badge chính thức của Google Play (logo Play nhiều màu).</t>
        </is>
      </c>
      <c r="I30" s="8" t="inlineStr">
        <is>
          <t>Screenshot/Video: screens/24-24-small.png, screens/24-24-large.png</t>
        </is>
      </c>
      <c r="J30" s="7" t="inlineStr">
        <is>
          <t>New</t>
        </is>
      </c>
    </row>
    <row r="31">
      <c r="A31" s="4" t="n">
        <v>30</v>
      </c>
      <c r="B31" s="4" t="inlineStr">
        <is>
          <t>tarot</t>
        </is>
      </c>
      <c r="C31" s="4" t="inlineStr">
        <is>
          <t>Intro 7</t>
        </is>
      </c>
      <c r="D31" s="10" t="inlineStr">
        <is>
          <t>Low</t>
        </is>
      </c>
      <c r="E31" s="4" t="inlineStr">
        <is>
          <t>Bug mới</t>
        </is>
      </c>
      <c r="F31" s="8" t="inlineStr">
        <is>
          <t>[UI][Intro 7] Select ngày sinh không có chevron, không đồng nhất với các funnel Starlyn khác</t>
        </is>
      </c>
      <c r="G31" s="8" t="inlineStr">
        <is>
          <t>- Ba ô Month / Day / Year ở Intro 7 (id: birth_date) chỉ hiển thị giá trị ("May", "14", "1994"), không có icon chevron báo đây là dropdown; sau đợt fix các funnel Starlyn khác (vd. aura-tarot) đã có chevron trên cùng loại select.</t>
        </is>
      </c>
      <c r="H31" s="8" t="inlineStr">
        <is>
          <t>- Spec: "Three selects in a glass row" – select cần có chevron đồng nhất với các funnel Starlyn khác; cần Designer confirm.</t>
        </is>
      </c>
      <c r="I31" s="8" t="inlineStr">
        <is>
          <t>Screenshot/Video: screens/07-birth_date-small.png, screens/07-birth_date-large.png</t>
        </is>
      </c>
      <c r="J31" s="7" t="inlineStr">
        <is>
          <t>New</t>
        </is>
      </c>
    </row>
    <row r="32">
      <c r="A32" s="4" t="n">
        <v>31</v>
      </c>
      <c r="B32" s="4" t="inlineStr">
        <is>
          <t>tarot</t>
        </is>
      </c>
      <c r="C32" s="4" t="inlineStr">
        <is>
          <t>Paywall 1</t>
        </is>
      </c>
      <c r="D32" s="7" t="inlineStr">
        <is>
          <t>High</t>
        </is>
      </c>
      <c r="E32" s="4" t="inlineStr">
        <is>
          <t>Bug mới</t>
        </is>
      </c>
      <c r="F32" s="8" t="inlineStr">
        <is>
          <t>[UI/UX][Responsive][Paywall 1] Màn small không thấy CTA nào ở first view</t>
        </is>
      </c>
      <c r="G32" s="8" t="inlineStr">
        <is>
          <t>- Trên 375x667, first view Paywall 1 chỉ có brand bar (chưa có mini CTA), hero, 4 fact chips và đầu plan card "1 week, then monthly"; dòng "Due today", button "Get my reading" và sticky bottom CTA đều không hiển thị, user phải cuộn mới thấy CTA. Trên 430x932 CTA hiển thị ngay first view. Lỗi đã có từ lượt 1 nhưng chưa được log; các funnel Starlyn khác (vd. astrocartography) đã được fix đưa CTA vào first view.</t>
        </is>
      </c>
      <c r="H32" s="8" t="inlineStr">
        <is>
          <t>- Có ít nhất một CTA (button trong plan block, mini CTA trên brand bar hoặc sticky bottom CTA) hiển thị ở first view trên màn small, đồng nhất với fix "a CTA in the first view at 375x667" ở các funnel Starlyn khác.</t>
        </is>
      </c>
      <c r="I32" s="8" t="inlineStr">
        <is>
          <t>Screenshot/Video: screens/18-paywall-small-p1.png, screens/18-paywall-large-p1.png</t>
        </is>
      </c>
      <c r="J32" s="7" t="inlineStr">
        <is>
          <t>New</t>
        </is>
      </c>
    </row>
    <row r="33">
      <c r="A33" s="4" t="n">
        <v>32</v>
      </c>
      <c r="B33" s="4" t="inlineStr">
        <is>
          <t>tarot</t>
        </is>
      </c>
      <c r="C33" s="4" t="inlineStr">
        <is>
          <t>Paywall 1</t>
        </is>
      </c>
      <c r="D33" s="10" t="inlineStr">
        <is>
          <t>Low</t>
        </is>
      </c>
      <c r="E33" s="4" t="inlineStr">
        <is>
          <t>Bug mới</t>
        </is>
      </c>
      <c r="F33" s="8" t="inlineStr">
        <is>
          <t>[UI][Paywall 1] Dòng "Due today" lặp chữ "today" ("$13.67 today")</t>
        </is>
      </c>
      <c r="G33" s="8" t="inlineStr">
        <is>
          <t>- Trong cả 2 plan block, dòng tổng hiển thị "Due today ... $13.67 today" (chữ "today" lặp 2 lần trên cùng một dòng); các funnel Starlyn khác sau đợt fix chỉ hiển thị giá ("Due today $13.67").</t>
        </is>
      </c>
      <c r="H33" s="8" t="inlineStr">
        <is>
          <t>- "Due today" chỉ hiển thị giá ($13.67), đồng nhất với các funnel Starlyn khác; cần PM/Designer confirm copy.</t>
        </is>
      </c>
      <c r="I33" s="8" t="inlineStr">
        <is>
          <t>Screenshot/Video: screens/18-paywall-small-p4.png, screens/18-paywall-large-p1.png</t>
        </is>
      </c>
      <c r="J33" s="7" t="inlineStr">
        <is>
          <t>New</t>
        </is>
      </c>
    </row>
    <row r="34">
      <c r="A34" s="4" t="n">
        <v>33</v>
      </c>
      <c r="B34" s="4" t="inlineStr">
        <is>
          <t>tarot</t>
        </is>
      </c>
      <c r="C34" s="4" t="inlineStr">
        <is>
          <t>Paywall 1</t>
        </is>
      </c>
      <c r="D34" s="10" t="inlineStr">
        <is>
          <t>Low</t>
        </is>
      </c>
      <c r="E34" s="4" t="inlineStr">
        <is>
          <t>Bug mới</t>
        </is>
      </c>
      <c r="F34" s="8" t="inlineStr">
        <is>
          <t>[UI][Paywall 1] Nội dung cuộn vẫn lộ mờ phía sau sticky header</t>
        </is>
      </c>
      <c r="G34" s="8" t="inlineStr">
        <is>
          <t>- Khi cuộn Paywall 1, nội dung phía sau vẫn hiện mờ xuyên qua sticky header (vd. hàng payment badges "Apple Pay / G Pay / VISA / Mastercard", dòng "Download Starlyn: Daily Astrology..." / "Get the app"), chồng nhẹ dưới logo "Starlyn". Mức mờ thấp, chỉ thấy rõ khi nhìn kỹ; độ tin cậy trung bình.</t>
        </is>
      </c>
      <c r="H34" s="8" t="inlineStr">
        <is>
          <t>- Sticky header che hoàn toàn nội dung phía sau (đồng nhất với fix "opaque sticky paywall bars"); cần đối chiếu Figma.</t>
        </is>
      </c>
      <c r="I34" s="8" t="inlineStr">
        <is>
          <t>Screenshot/Video: screens/18-paywall-small-p2.png, screens/18-paywall-large-p3.png</t>
        </is>
      </c>
      <c r="J34" s="7" t="inlineStr">
        <is>
          <t>New</t>
        </is>
      </c>
    </row>
    <row r="35">
      <c r="A35" s="4" t="n">
        <v>34</v>
      </c>
      <c r="B35" s="4" t="inlineStr">
        <is>
          <t>tarot</t>
        </is>
      </c>
      <c r="C35" s="4" t="inlineStr">
        <is>
          <t>Upsale 1</t>
        </is>
      </c>
      <c r="D35" s="10" t="inlineStr">
        <is>
          <t>Low</t>
        </is>
      </c>
      <c r="E35" s="4" t="inlineStr">
        <is>
          <t>Bug mới</t>
        </is>
      </c>
      <c r="F35" s="8" t="inlineStr">
        <is>
          <t>[UI][Responsive][Upsale 1] Microcopy dưới report card bị ẩn ở first view trên màn small</t>
        </is>
      </c>
      <c r="G35" s="8" t="inlineStr">
        <is>
          <t>- Trên 375x667 (id: report_upsell), dòng "Paid once through secure checkout. No subscription." dưới report card không hiển thị ở first view (CTA "Add for $19.99" nằm ngay dưới card), chỉ thấy khi cuộn (p2). Trên large dòng này hiển thị ngay dưới card. Card không bị cắt nên chọn Low.</t>
        </is>
      </c>
      <c r="H35" s="8" t="inlineStr">
        <is>
          <t>- Microcopy hiển thị dưới card ngay first view như large (brief #19: "Under the card: Paid once through secure checkout. No subscription.").</t>
        </is>
      </c>
      <c r="I35" s="8" t="inlineStr">
        <is>
          <t>Screenshot/Video: screens/19-report_upsell-small-p1.png, screens/19-report_upsell-small-p2.png, screens/19-report_upsell-large.png</t>
        </is>
      </c>
      <c r="J35" s="7" t="inlineStr">
        <is>
          <t>New</t>
        </is>
      </c>
    </row>
    <row r="36">
      <c r="A36" s="4" t="n">
        <v>35</v>
      </c>
      <c r="B36" s="4" t="inlineStr">
        <is>
          <t>witch-power</t>
        </is>
      </c>
      <c r="C36" s="4" t="inlineStr">
        <is>
          <t>Intro 15</t>
        </is>
      </c>
      <c r="D36" s="10" t="inlineStr">
        <is>
          <t>Low</t>
        </is>
      </c>
      <c r="E36" s="4" t="inlineStr">
        <is>
          <t>Bug mới</t>
        </is>
      </c>
      <c r="F36" s="8" t="inlineStr">
        <is>
          <t>[UI][Intro 15] Select ngày sinh và giờ sinh không có chevron, không đồng nhất với các funnel Starlyn khác</t>
        </is>
      </c>
      <c r="G36" s="8" t="inlineStr">
        <is>
          <t>- Ba ô Month / Day / Year ở Intro 15 (id: birth_date) và ba ô giờ / phút / AM-PM ở Intro 16 (id: birth_time) chỉ hiển thị giá trị, không có chevron báo đây là dropdown; sau đợt fix các funnel Starlyn khác (vd. aura-tarot) đã có chevron trên cùng loại select.</t>
        </is>
      </c>
      <c r="H36" s="8" t="inlineStr">
        <is>
          <t>- Spec: "Month / Day / Year selects" và "Hour / minute / AM-PM selects" – select cần có chevron đồng nhất với các funnel Starlyn khác; cần Designer confirm.</t>
        </is>
      </c>
      <c r="I36" s="8" t="inlineStr">
        <is>
          <t>Screenshot/Video: screens/15-birth_date-small.png, screens/16-birth_time-small.png, screens/16-birth_time-large.png</t>
        </is>
      </c>
      <c r="J36" s="7" t="inlineStr">
        <is>
          <t>New</t>
        </is>
      </c>
    </row>
    <row r="37">
      <c r="A37" s="4" t="n">
        <v>36</v>
      </c>
      <c r="B37" s="4" t="inlineStr">
        <is>
          <t>witch-power</t>
        </is>
      </c>
      <c r="C37" s="4" t="inlineStr">
        <is>
          <t>Paywall 1</t>
        </is>
      </c>
      <c r="D37" s="7" t="inlineStr">
        <is>
          <t>High</t>
        </is>
      </c>
      <c r="E37" s="4" t="inlineStr">
        <is>
          <t>Bug cũ</t>
        </is>
      </c>
      <c r="F37" s="8" t="inlineStr">
        <is>
          <t>[UI][Paywall 1] Footer thiếu thông tin entity</t>
        </is>
      </c>
      <c r="G37" s="8" t="inlineStr">
        <is>
          <t>- Footer chỉ có "Terms of Use · Privacy Policy · Subscription terms" và "For entertainment purposes only.", không có dòng entity (tên pháp nhân/địa chỉ). (Retest lượt 2: Footer vẫn chỉ có "Terms of Use · Privacy Policy · Subscription terms" và "For entertainment purposes only.", chưa có tên pháp nhân/địa chỉ. Khớp trạng thái dev báo (chờ PM cung cấp thông tin entity).)</t>
        </is>
      </c>
      <c r="H37" s="8" t="inlineStr">
        <is>
          <t>- Spec mục 9: "Footer: legal links, entity, entertainment disclaimer".</t>
        </is>
      </c>
      <c r="I37" s="8" t="inlineStr">
        <is>
          <t>Screenshot/Video: screens/22-paywall-small-p4.png, screens/22-paywall-large-p4.png</t>
        </is>
      </c>
      <c r="J37" s="13" t="inlineStr">
        <is>
          <t>Cần PM</t>
        </is>
      </c>
    </row>
    <row r="38">
      <c r="A38" s="4" t="n">
        <v>37</v>
      </c>
      <c r="B38" s="4" t="inlineStr">
        <is>
          <t>witch-power</t>
        </is>
      </c>
      <c r="C38" s="4" t="inlineStr">
        <is>
          <t>Paywall 1</t>
        </is>
      </c>
      <c r="D38" s="7" t="inlineStr">
        <is>
          <t>High</t>
        </is>
      </c>
      <c r="E38" s="4" t="inlineStr">
        <is>
          <t>Bug mới</t>
        </is>
      </c>
      <c r="F38" s="8" t="inlineStr">
        <is>
          <t>[UI/UX][Responsive][Paywall 1] Màn small không thấy CTA nào ở first view</t>
        </is>
      </c>
      <c r="G38" s="8" t="inlineStr">
        <is>
          <t>- Trên 375x667, first view Paywall 1 chỉ có brand bar (chưa có mini CTA), hero, 4 fact chips và đầu plan card "1 week, then monthly"; dòng "Due today", button "Get my reading" và sticky bottom CTA đều không hiển thị, user phải cuộn mới thấy CTA. Trên 430x932 CTA hiển thị ngay first view. Lỗi đã có từ lượt 1 nhưng chưa được log; các funnel Starlyn khác (vd. astrocartography) đã được fix đưa CTA vào first view.</t>
        </is>
      </c>
      <c r="H38" s="8" t="inlineStr">
        <is>
          <t>- Có ít nhất một CTA (button trong plan block, mini CTA trên brand bar hoặc sticky bottom CTA) hiển thị ở first view trên màn small, đồng nhất với fix "a CTA in the first view at 375x667" ở các funnel Starlyn khác.</t>
        </is>
      </c>
      <c r="I38" s="8" t="inlineStr">
        <is>
          <t>Screenshot/Video: screens/22-paywall-small-p1.png, screens/22-paywall-large-p1.png</t>
        </is>
      </c>
      <c r="J38" s="7" t="inlineStr">
        <is>
          <t>New</t>
        </is>
      </c>
    </row>
    <row r="39">
      <c r="A39" s="4" t="n">
        <v>38</v>
      </c>
      <c r="B39" s="4" t="inlineStr">
        <is>
          <t>witch-power</t>
        </is>
      </c>
      <c r="C39" s="4" t="inlineStr">
        <is>
          <t>Paywall 1</t>
        </is>
      </c>
      <c r="D39" s="10" t="inlineStr">
        <is>
          <t>Low</t>
        </is>
      </c>
      <c r="E39" s="4" t="inlineStr">
        <is>
          <t>Bug mới</t>
        </is>
      </c>
      <c r="F39" s="8" t="inlineStr">
        <is>
          <t>[UI][Paywall 1] Dòng "Due today" lặp chữ "today" ("$13.67 today")</t>
        </is>
      </c>
      <c r="G39" s="8" t="inlineStr">
        <is>
          <t>- Trong cả 2 plan block, dòng tổng hiển thị "Due today ... $13.67 today" (chữ "today" lặp 2 lần trên cùng một dòng); các funnel Starlyn khác sau đợt fix chỉ hiển thị giá ("Due today $13.67").</t>
        </is>
      </c>
      <c r="H39" s="8" t="inlineStr">
        <is>
          <t>- "Due today" chỉ hiển thị giá ($13.67), đồng nhất với các funnel Starlyn khác; cần PM/Designer confirm copy.</t>
        </is>
      </c>
      <c r="I39" s="8" t="inlineStr">
        <is>
          <t>Screenshot/Video: screens/22-paywall-small-p4.png, screens/22-paywall-large-p1.png</t>
        </is>
      </c>
      <c r="J39" s="7" t="inlineStr">
        <is>
          <t>New</t>
        </is>
      </c>
    </row>
    <row r="40">
      <c r="A40" s="4" t="n">
        <v>39</v>
      </c>
      <c r="B40" s="4" t="inlineStr">
        <is>
          <t>witch-power</t>
        </is>
      </c>
      <c r="C40" s="4" t="inlineStr">
        <is>
          <t>Paywall 1</t>
        </is>
      </c>
      <c r="D40" s="10" t="inlineStr">
        <is>
          <t>Low</t>
        </is>
      </c>
      <c r="E40" s="4" t="inlineStr">
        <is>
          <t>Bug mới</t>
        </is>
      </c>
      <c r="F40" s="8" t="inlineStr">
        <is>
          <t>[UI][Paywall 1] Nội dung cuộn vẫn lộ mờ phía sau sticky header</t>
        </is>
      </c>
      <c r="G40" s="8" t="inlineStr">
        <is>
          <t>- Khi cuộn Paywall 1, nội dung phía sau vẫn hiện mờ xuyên qua sticky header (vd. hàng payment badges "Apple Pay / G Pay / VISA / Mastercard", dòng "Download Starlyn: Daily Astrology..." / "Get the app"), chồng nhẹ dưới logo "Starlyn". Mức mờ thấp, chỉ thấy rõ khi nhìn kỹ; độ tin cậy trung bình.</t>
        </is>
      </c>
      <c r="H40" s="8" t="inlineStr">
        <is>
          <t>- Sticky header che hoàn toàn nội dung phía sau (đồng nhất với fix "opaque sticky paywall bars"); cần đối chiếu Figma.</t>
        </is>
      </c>
      <c r="I40" s="8" t="inlineStr">
        <is>
          <t>Screenshot/Video: screens/22-paywall-small-p2.png, screens/22-paywall-small-p3.png</t>
        </is>
      </c>
      <c r="J40" s="7" t="inlineStr">
        <is>
          <t>New</t>
        </is>
      </c>
    </row>
    <row r="41">
      <c r="A41" s="4" t="n">
        <v>40</v>
      </c>
      <c r="B41" s="4" t="inlineStr">
        <is>
          <t>witch-power</t>
        </is>
      </c>
      <c r="C41" s="4" t="inlineStr">
        <is>
          <t>Upsale 1</t>
        </is>
      </c>
      <c r="D41" s="11" t="inlineStr">
        <is>
          <t>Medium</t>
        </is>
      </c>
      <c r="E41" s="4" t="inlineStr">
        <is>
          <t>Bug mới</t>
        </is>
      </c>
      <c r="F41" s="8" t="inlineStr">
        <is>
          <t>[UI][Responsive][Upsale 1] Report card bị vùng CTA cắt mép dưới, microcopy bị ẩn trên màn small</t>
        </is>
      </c>
      <c r="G41" s="8" t="inlineStr">
        <is>
          <t>- Trên 375x667 (id: report_upsell), mép dưới report card (ngay dưới dòng "$19.99 · Paid once · no subscription") bị vùng CTA "Add for $19.99" cắt ngang, mất viền và góc bo dưới của card; dòng "One-time payment at a secure checkout. No subscription." chỉ thấy khi cuộn (p2). Trên large card và microcopy hiển thị đầy đủ.</t>
        </is>
      </c>
      <c r="H41" s="8" t="inlineStr">
        <is>
          <t>- Card hiển thị đầy đủ, microcopy dưới card hiển thị như large (brief #23).</t>
        </is>
      </c>
      <c r="I41" s="8" t="inlineStr">
        <is>
          <t>Screenshot/Video: screens/23-report_upsell-small-p1.png, screens/23-report_upsell-small-p2.png, screens/23-report_upsell-large.png</t>
        </is>
      </c>
      <c r="J41" s="7" t="inlineStr">
        <is>
          <t>New</t>
        </is>
      </c>
    </row>
  </sheetData>
  <autoFilter ref="A1:J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2026-10-06T11:38:31Z</dcterms:created>
  <dcterms:modified xmlns:dcterms="http://purl.org/dc/terms/" xmlns:xsi="http://www.w3.org/2001/XMLSchema-instance" xsi:type="dcterms:W3CDTF">2026-10-06T11:38:31Z</dcterms:modified>
</cp:coreProperties>
</file>