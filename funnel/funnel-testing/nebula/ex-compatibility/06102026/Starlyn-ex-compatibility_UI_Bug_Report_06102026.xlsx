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 List" sheetId="2" state="visible" r:id="rId2"/>
  </sheets>
  <definedNames>
    <definedName name="_xlnm._FilterDatabase" localSheetId="1" hidden="1">'Bug List'!$A$1:$H$26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color rgb="00808080"/>
      <sz val="10"/>
    </font>
    <font>
      <name val="Arial"/>
      <b val="1"/>
      <sz val="14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F4B6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 wrapText="1"/>
    </xf>
    <xf numFmtId="0" fontId="2" fillId="7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2" fillId="5" borderId="1" pivotButton="0" quotePrefix="0" xfId="0"/>
    <xf numFmtId="0" fontId="2" fillId="4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Tổng hợp bug</t>
        </is>
      </c>
    </row>
    <row r="2">
      <c r="A2" s="2" t="inlineStr">
        <is>
          <t>Project: Starlyn – ex-compatibility</t>
        </is>
      </c>
    </row>
    <row r="3">
      <c r="A3" s="2" t="inlineStr">
        <is>
          <t>Tester: Claude Code</t>
        </is>
      </c>
    </row>
    <row r="4">
      <c r="A4" s="2" t="inlineStr">
        <is>
          <t>Ngày export: 06/10/2026</t>
        </is>
      </c>
    </row>
    <row r="6">
      <c r="A6" s="3" t="inlineStr">
        <is>
          <t>Screen</t>
        </is>
      </c>
      <c r="B6" s="3" t="inlineStr">
        <is>
          <t>[UI/UX]</t>
        </is>
      </c>
      <c r="C6" s="3" t="inlineStr">
        <is>
          <t>[UI]</t>
        </is>
      </c>
      <c r="D6" s="3" t="inlineStr">
        <is>
          <t>Tổng</t>
        </is>
      </c>
    </row>
    <row r="7">
      <c r="A7" s="4" t="inlineStr">
        <is>
          <t>Intro 1</t>
        </is>
      </c>
      <c r="B7" s="5">
        <f>COUNTIFS('Bug List'!$B$2:$B$26,$A7,'Bug List'!$C$2:$C$26,B$6)</f>
        <v/>
      </c>
      <c r="C7" s="5">
        <f>COUNTIFS('Bug List'!$B$2:$B$26,$A7,'Bug List'!$C$2:$C$26,C$6)</f>
        <v/>
      </c>
      <c r="D7" s="5">
        <f>SUM(B7:C7)</f>
        <v/>
      </c>
    </row>
    <row r="8">
      <c r="A8" s="4" t="inlineStr">
        <is>
          <t>Intro 2</t>
        </is>
      </c>
      <c r="B8" s="5">
        <f>COUNTIFS('Bug List'!$B$2:$B$26,$A8,'Bug List'!$C$2:$C$26,B$6)</f>
        <v/>
      </c>
      <c r="C8" s="5">
        <f>COUNTIFS('Bug List'!$B$2:$B$26,$A8,'Bug List'!$C$2:$C$26,C$6)</f>
        <v/>
      </c>
      <c r="D8" s="5">
        <f>SUM(B8:C8)</f>
        <v/>
      </c>
    </row>
    <row r="9">
      <c r="A9" s="4" t="inlineStr">
        <is>
          <t>Intro 3</t>
        </is>
      </c>
      <c r="B9" s="5">
        <f>COUNTIFS('Bug List'!$B$2:$B$26,$A9,'Bug List'!$C$2:$C$26,B$6)</f>
        <v/>
      </c>
      <c r="C9" s="5">
        <f>COUNTIFS('Bug List'!$B$2:$B$26,$A9,'Bug List'!$C$2:$C$26,C$6)</f>
        <v/>
      </c>
      <c r="D9" s="5">
        <f>SUM(B9:C9)</f>
        <v/>
      </c>
    </row>
    <row r="10">
      <c r="A10" s="4" t="inlineStr">
        <is>
          <t>Intro 4</t>
        </is>
      </c>
      <c r="B10" s="5">
        <f>COUNTIFS('Bug List'!$B$2:$B$26,$A10,'Bug List'!$C$2:$C$26,B$6)</f>
        <v/>
      </c>
      <c r="C10" s="5">
        <f>COUNTIFS('Bug List'!$B$2:$B$26,$A10,'Bug List'!$C$2:$C$26,C$6)</f>
        <v/>
      </c>
      <c r="D10" s="5">
        <f>SUM(B10:C10)</f>
        <v/>
      </c>
    </row>
    <row r="11">
      <c r="A11" s="4" t="inlineStr">
        <is>
          <t>Intro 5</t>
        </is>
      </c>
      <c r="B11" s="5">
        <f>COUNTIFS('Bug List'!$B$2:$B$26,$A11,'Bug List'!$C$2:$C$26,B$6)</f>
        <v/>
      </c>
      <c r="C11" s="5">
        <f>COUNTIFS('Bug List'!$B$2:$B$26,$A11,'Bug List'!$C$2:$C$26,C$6)</f>
        <v/>
      </c>
      <c r="D11" s="5">
        <f>SUM(B11:C11)</f>
        <v/>
      </c>
    </row>
    <row r="12">
      <c r="A12" s="4" t="inlineStr">
        <is>
          <t>Intro 6</t>
        </is>
      </c>
      <c r="B12" s="5">
        <f>COUNTIFS('Bug List'!$B$2:$B$26,$A12,'Bug List'!$C$2:$C$26,B$6)</f>
        <v/>
      </c>
      <c r="C12" s="5">
        <f>COUNTIFS('Bug List'!$B$2:$B$26,$A12,'Bug List'!$C$2:$C$26,C$6)</f>
        <v/>
      </c>
      <c r="D12" s="5">
        <f>SUM(B12:C12)</f>
        <v/>
      </c>
    </row>
    <row r="13">
      <c r="A13" s="4" t="inlineStr">
        <is>
          <t>Intro 7</t>
        </is>
      </c>
      <c r="B13" s="5">
        <f>COUNTIFS('Bug List'!$B$2:$B$26,$A13,'Bug List'!$C$2:$C$26,B$6)</f>
        <v/>
      </c>
      <c r="C13" s="5">
        <f>COUNTIFS('Bug List'!$B$2:$B$26,$A13,'Bug List'!$C$2:$C$26,C$6)</f>
        <v/>
      </c>
      <c r="D13" s="5">
        <f>SUM(B13:C13)</f>
        <v/>
      </c>
    </row>
    <row r="14">
      <c r="A14" s="4" t="inlineStr">
        <is>
          <t>Intro 8</t>
        </is>
      </c>
      <c r="B14" s="5">
        <f>COUNTIFS('Bug List'!$B$2:$B$26,$A14,'Bug List'!$C$2:$C$26,B$6)</f>
        <v/>
      </c>
      <c r="C14" s="5">
        <f>COUNTIFS('Bug List'!$B$2:$B$26,$A14,'Bug List'!$C$2:$C$26,C$6)</f>
        <v/>
      </c>
      <c r="D14" s="5">
        <f>SUM(B14:C14)</f>
        <v/>
      </c>
    </row>
    <row r="15">
      <c r="A15" s="4" t="inlineStr">
        <is>
          <t>Intro 9</t>
        </is>
      </c>
      <c r="B15" s="5">
        <f>COUNTIFS('Bug List'!$B$2:$B$26,$A15,'Bug List'!$C$2:$C$26,B$6)</f>
        <v/>
      </c>
      <c r="C15" s="5">
        <f>COUNTIFS('Bug List'!$B$2:$B$26,$A15,'Bug List'!$C$2:$C$26,C$6)</f>
        <v/>
      </c>
      <c r="D15" s="5">
        <f>SUM(B15:C15)</f>
        <v/>
      </c>
    </row>
    <row r="16">
      <c r="A16" s="4" t="inlineStr">
        <is>
          <t>Intro 10</t>
        </is>
      </c>
      <c r="B16" s="5">
        <f>COUNTIFS('Bug List'!$B$2:$B$26,$A16,'Bug List'!$C$2:$C$26,B$6)</f>
        <v/>
      </c>
      <c r="C16" s="5">
        <f>COUNTIFS('Bug List'!$B$2:$B$26,$A16,'Bug List'!$C$2:$C$26,C$6)</f>
        <v/>
      </c>
      <c r="D16" s="5">
        <f>SUM(B16:C16)</f>
        <v/>
      </c>
    </row>
    <row r="17">
      <c r="A17" s="4" t="inlineStr">
        <is>
          <t>Intro 11</t>
        </is>
      </c>
      <c r="B17" s="5">
        <f>COUNTIFS('Bug List'!$B$2:$B$26,$A17,'Bug List'!$C$2:$C$26,B$6)</f>
        <v/>
      </c>
      <c r="C17" s="5">
        <f>COUNTIFS('Bug List'!$B$2:$B$26,$A17,'Bug List'!$C$2:$C$26,C$6)</f>
        <v/>
      </c>
      <c r="D17" s="5">
        <f>SUM(B17:C17)</f>
        <v/>
      </c>
    </row>
    <row r="18">
      <c r="A18" s="4" t="inlineStr">
        <is>
          <t>Intro 12</t>
        </is>
      </c>
      <c r="B18" s="5">
        <f>COUNTIFS('Bug List'!$B$2:$B$26,$A18,'Bug List'!$C$2:$C$26,B$6)</f>
        <v/>
      </c>
      <c r="C18" s="5">
        <f>COUNTIFS('Bug List'!$B$2:$B$26,$A18,'Bug List'!$C$2:$C$26,C$6)</f>
        <v/>
      </c>
      <c r="D18" s="5">
        <f>SUM(B18:C18)</f>
        <v/>
      </c>
    </row>
    <row r="19">
      <c r="A19" s="4" t="inlineStr">
        <is>
          <t>Intro 13</t>
        </is>
      </c>
      <c r="B19" s="5">
        <f>COUNTIFS('Bug List'!$B$2:$B$26,$A19,'Bug List'!$C$2:$C$26,B$6)</f>
        <v/>
      </c>
      <c r="C19" s="5">
        <f>COUNTIFS('Bug List'!$B$2:$B$26,$A19,'Bug List'!$C$2:$C$26,C$6)</f>
        <v/>
      </c>
      <c r="D19" s="5">
        <f>SUM(B19:C19)</f>
        <v/>
      </c>
    </row>
    <row r="20">
      <c r="A20" s="4" t="inlineStr">
        <is>
          <t>Intro 14</t>
        </is>
      </c>
      <c r="B20" s="5">
        <f>COUNTIFS('Bug List'!$B$2:$B$26,$A20,'Bug List'!$C$2:$C$26,B$6)</f>
        <v/>
      </c>
      <c r="C20" s="5">
        <f>COUNTIFS('Bug List'!$B$2:$B$26,$A20,'Bug List'!$C$2:$C$26,C$6)</f>
        <v/>
      </c>
      <c r="D20" s="5">
        <f>SUM(B20:C20)</f>
        <v/>
      </c>
    </row>
    <row r="21">
      <c r="A21" s="4" t="inlineStr">
        <is>
          <t>Intro 15</t>
        </is>
      </c>
      <c r="B21" s="5">
        <f>COUNTIFS('Bug List'!$B$2:$B$26,$A21,'Bug List'!$C$2:$C$26,B$6)</f>
        <v/>
      </c>
      <c r="C21" s="5">
        <f>COUNTIFS('Bug List'!$B$2:$B$26,$A21,'Bug List'!$C$2:$C$26,C$6)</f>
        <v/>
      </c>
      <c r="D21" s="5">
        <f>SUM(B21:C21)</f>
        <v/>
      </c>
    </row>
    <row r="22">
      <c r="A22" s="4" t="inlineStr">
        <is>
          <t>Intro 16</t>
        </is>
      </c>
      <c r="B22" s="5">
        <f>COUNTIFS('Bug List'!$B$2:$B$26,$A22,'Bug List'!$C$2:$C$26,B$6)</f>
        <v/>
      </c>
      <c r="C22" s="5">
        <f>COUNTIFS('Bug List'!$B$2:$B$26,$A22,'Bug List'!$C$2:$C$26,C$6)</f>
        <v/>
      </c>
      <c r="D22" s="5">
        <f>SUM(B22:C22)</f>
        <v/>
      </c>
    </row>
    <row r="23">
      <c r="A23" s="4" t="inlineStr">
        <is>
          <t>Intro 17</t>
        </is>
      </c>
      <c r="B23" s="5">
        <f>COUNTIFS('Bug List'!$B$2:$B$26,$A23,'Bug List'!$C$2:$C$26,B$6)</f>
        <v/>
      </c>
      <c r="C23" s="5">
        <f>COUNTIFS('Bug List'!$B$2:$B$26,$A23,'Bug List'!$C$2:$C$26,C$6)</f>
        <v/>
      </c>
      <c r="D23" s="5">
        <f>SUM(B23:C23)</f>
        <v/>
      </c>
    </row>
    <row r="24">
      <c r="A24" s="4" t="inlineStr">
        <is>
          <t>Intro 18</t>
        </is>
      </c>
      <c r="B24" s="5">
        <f>COUNTIFS('Bug List'!$B$2:$B$26,$A24,'Bug List'!$C$2:$C$26,B$6)</f>
        <v/>
      </c>
      <c r="C24" s="5">
        <f>COUNTIFS('Bug List'!$B$2:$B$26,$A24,'Bug List'!$C$2:$C$26,C$6)</f>
        <v/>
      </c>
      <c r="D24" s="5">
        <f>SUM(B24:C24)</f>
        <v/>
      </c>
    </row>
    <row r="25">
      <c r="A25" s="4" t="inlineStr">
        <is>
          <t>Intro 19</t>
        </is>
      </c>
      <c r="B25" s="5">
        <f>COUNTIFS('Bug List'!$B$2:$B$26,$A25,'Bug List'!$C$2:$C$26,B$6)</f>
        <v/>
      </c>
      <c r="C25" s="5">
        <f>COUNTIFS('Bug List'!$B$2:$B$26,$A25,'Bug List'!$C$2:$C$26,C$6)</f>
        <v/>
      </c>
      <c r="D25" s="5">
        <f>SUM(B25:C25)</f>
        <v/>
      </c>
    </row>
    <row r="26">
      <c r="A26" s="4" t="inlineStr">
        <is>
          <t>Intro 20</t>
        </is>
      </c>
      <c r="B26" s="5">
        <f>COUNTIFS('Bug List'!$B$2:$B$26,$A26,'Bug List'!$C$2:$C$26,B$6)</f>
        <v/>
      </c>
      <c r="C26" s="5">
        <f>COUNTIFS('Bug List'!$B$2:$B$26,$A26,'Bug List'!$C$2:$C$26,C$6)</f>
        <v/>
      </c>
      <c r="D26" s="5">
        <f>SUM(B26:C26)</f>
        <v/>
      </c>
    </row>
    <row r="27">
      <c r="A27" s="4" t="inlineStr">
        <is>
          <t>Intro 21</t>
        </is>
      </c>
      <c r="B27" s="5">
        <f>COUNTIFS('Bug List'!$B$2:$B$26,$A27,'Bug List'!$C$2:$C$26,B$6)</f>
        <v/>
      </c>
      <c r="C27" s="5">
        <f>COUNTIFS('Bug List'!$B$2:$B$26,$A27,'Bug List'!$C$2:$C$26,C$6)</f>
        <v/>
      </c>
      <c r="D27" s="5">
        <f>SUM(B27:C27)</f>
        <v/>
      </c>
    </row>
    <row r="28">
      <c r="A28" s="4" t="inlineStr">
        <is>
          <t>Paywall 1</t>
        </is>
      </c>
      <c r="B28" s="5">
        <f>COUNTIFS('Bug List'!$B$2:$B$26,$A28,'Bug List'!$C$2:$C$26,B$6)</f>
        <v/>
      </c>
      <c r="C28" s="5">
        <f>COUNTIFS('Bug List'!$B$2:$B$26,$A28,'Bug List'!$C$2:$C$26,C$6)</f>
        <v/>
      </c>
      <c r="D28" s="5">
        <f>SUM(B28:C28)</f>
        <v/>
      </c>
    </row>
    <row r="29">
      <c r="A29" s="4" t="inlineStr">
        <is>
          <t>Upsale 1</t>
        </is>
      </c>
      <c r="B29" s="5">
        <f>COUNTIFS('Bug List'!$B$2:$B$26,$A29,'Bug List'!$C$2:$C$26,B$6)</f>
        <v/>
      </c>
      <c r="C29" s="5">
        <f>COUNTIFS('Bug List'!$B$2:$B$26,$A29,'Bug List'!$C$2:$C$26,C$6)</f>
        <v/>
      </c>
      <c r="D29" s="5">
        <f>SUM(B29:C29)</f>
        <v/>
      </c>
    </row>
    <row r="30">
      <c r="A30" s="4" t="inlineStr">
        <is>
          <t>Download App</t>
        </is>
      </c>
      <c r="B30" s="5">
        <f>COUNTIFS('Bug List'!$B$2:$B$26,$A30,'Bug List'!$C$2:$C$26,B$6)</f>
        <v/>
      </c>
      <c r="C30" s="5">
        <f>COUNTIFS('Bug List'!$B$2:$B$26,$A30,'Bug List'!$C$2:$C$26,C$6)</f>
        <v/>
      </c>
      <c r="D30" s="5">
        <f>SUM(B30:C30)</f>
        <v/>
      </c>
    </row>
    <row r="31">
      <c r="A31" s="6" t="inlineStr">
        <is>
          <t>Tổng</t>
        </is>
      </c>
      <c r="B31" s="7">
        <f>SUM(B7:B30)</f>
        <v/>
      </c>
      <c r="C31" s="7">
        <f>SUM(C7:C30)</f>
        <v/>
      </c>
      <c r="D31" s="7">
        <f>SUM(D7:D30)</f>
        <v/>
      </c>
    </row>
    <row r="33">
      <c r="A33" s="3" t="inlineStr">
        <is>
          <t>Severity</t>
        </is>
      </c>
      <c r="B33" s="3" t="inlineStr">
        <is>
          <t>Số bug</t>
        </is>
      </c>
    </row>
    <row r="34">
      <c r="A34" s="8" t="inlineStr">
        <is>
          <t>Critical</t>
        </is>
      </c>
      <c r="B34" s="9">
        <f>COUNTIF('Bug List'!$D$2:$D$26,A34)</f>
        <v/>
      </c>
    </row>
    <row r="35">
      <c r="A35" s="10" t="inlineStr">
        <is>
          <t>High</t>
        </is>
      </c>
      <c r="B35" s="9">
        <f>COUNTIF('Bug List'!$D$2:$D$26,A35)</f>
        <v/>
      </c>
    </row>
    <row r="36">
      <c r="A36" s="11" t="inlineStr">
        <is>
          <t>Medium</t>
        </is>
      </c>
      <c r="B36" s="9">
        <f>COUNTIF('Bug List'!$D$2:$D$26,A36)</f>
        <v/>
      </c>
    </row>
    <row r="37">
      <c r="A37" s="12" t="inlineStr">
        <is>
          <t>Low</t>
        </is>
      </c>
      <c r="B37" s="9">
        <f>COUNTIF('Bug List'!$D$2:$D$26,A37)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3" customWidth="1" min="3" max="3"/>
    <col width="10" customWidth="1" min="4" max="4"/>
    <col width="45" customWidth="1" min="5" max="5"/>
    <col width="50" customWidth="1" min="6" max="6"/>
    <col width="50" customWidth="1" min="7" max="7"/>
    <col width="26" customWidth="1" min="8" max="8"/>
  </cols>
  <sheetData>
    <row r="1">
      <c r="A1" s="3" t="inlineStr">
        <is>
          <t>#</t>
        </is>
      </c>
      <c r="B1" s="3" t="inlineStr">
        <is>
          <t>Screen</t>
        </is>
      </c>
      <c r="C1" s="3" t="inlineStr">
        <is>
          <t>Bug Type</t>
        </is>
      </c>
      <c r="D1" s="3" t="inlineStr">
        <is>
          <t>Severity</t>
        </is>
      </c>
      <c r="E1" s="3" t="inlineStr">
        <is>
          <t>Title</t>
        </is>
      </c>
      <c r="F1" s="3" t="inlineStr">
        <is>
          <t>Actual Result</t>
        </is>
      </c>
      <c r="G1" s="3" t="inlineStr">
        <is>
          <t>Expected Result</t>
        </is>
      </c>
      <c r="H1" s="3" t="inlineStr">
        <is>
          <t>Attachment</t>
        </is>
      </c>
    </row>
    <row r="2">
      <c r="A2" s="5" t="n">
        <v>1</v>
      </c>
      <c r="B2" s="5" t="inlineStr">
        <is>
          <t>Intro 1</t>
        </is>
      </c>
      <c r="C2" s="5" t="inlineStr">
        <is>
          <t>[UI/UX]</t>
        </is>
      </c>
      <c r="D2" s="13" t="inlineStr">
        <is>
          <t>High</t>
        </is>
      </c>
      <c r="E2" s="14" t="inlineStr">
        <is>
          <t>[UI/UX][Intro 1] "Terms of Use" và "Privacy Policy" trong microcopy hiển thị dạng text thường, không phải link</t>
        </is>
      </c>
      <c r="F2" s="14" t="inlineStr">
        <is>
          <t>- Ở microcopy dưới CTA "Start reading" (id: hook) và dưới CTA "Continue" của màn email (Intro 21, id: email), cụm "Terms of Use" và "Privacy Policy" hiển thị cùng màu/kiểu với phần text còn lại, không gạch chân, không có affordance bấm được; trong khi footer Paywall 1 có link "Terms of Use" / "Privacy Policy" gạch chân.</t>
        </is>
      </c>
      <c r="G2" s="14" t="inlineStr">
        <is>
          <t>- "Terms of Use" và "Privacy Policy" ở màn hook và màn email cần là link mở đúng trang tương ứng, style đồng nhất với link ở footer Paywall 1. Spec chưa định nghĩa rõ dạng link – cần PM/Designer confirm.</t>
        </is>
      </c>
      <c r="H2" s="14" t="inlineStr">
        <is>
          <t>Screenshot/Video: screens/01-hook-small.png, screens/01-hook-large.png, screens/21-email-small.png, screens/21-email-large.png</t>
        </is>
      </c>
    </row>
    <row r="3">
      <c r="A3" s="5" t="n">
        <v>2</v>
      </c>
      <c r="B3" s="5" t="inlineStr">
        <is>
          <t>Intro 2</t>
        </is>
      </c>
      <c r="C3" s="5" t="inlineStr">
        <is>
          <t>[UI]</t>
        </is>
      </c>
      <c r="D3" s="15" t="inlineStr">
        <is>
          <t>Low</t>
        </is>
      </c>
      <c r="E3" s="14" t="inlineStr">
        <is>
          <t>[UI][Intro 2] Header các màn câu hỏi chỉ có counter "n/14", không hiển thị progress bar</t>
        </is>
      </c>
      <c r="F3" s="14" t="inlineStr">
        <is>
          <t>- Trên header các màn câu hỏi (Intro 2, 3, 5–13, 15–17) chỉ thấy nút back, logo "Starlyn" và counter "n/14"; không có thanh progress bar nào hiển thị dưới header ở cả viewport small và large.</t>
        </is>
      </c>
      <c r="G3" s="14" t="inlineStr">
        <is>
          <t>- Spec chưa định nghĩa – cần PM/Designer confirm header có cần progress bar (trên header đang có sẵn vùng dành cho progress bar nhưng không hiển thị) hay chỉ dùng counter "n/14".</t>
        </is>
      </c>
      <c r="H3" s="14" t="inlineStr">
        <is>
          <t>Screenshot/Video: screens/02-gender-small.png, screens/02-gender-large.png, screens/10-who_ended-small.png</t>
        </is>
      </c>
    </row>
    <row r="4">
      <c r="A4" s="16" t="inlineStr"/>
      <c r="B4" s="16" t="inlineStr">
        <is>
          <t>Intro 3</t>
        </is>
      </c>
      <c r="C4" s="16" t="inlineStr"/>
      <c r="D4" s="16" t="inlineStr"/>
      <c r="E4" s="17" t="inlineStr">
        <is>
          <t>Không phát hiện lỗi</t>
        </is>
      </c>
      <c r="F4" s="17" t="inlineStr"/>
      <c r="G4" s="17" t="inlineStr"/>
      <c r="H4" s="17" t="inlineStr"/>
    </row>
    <row r="5">
      <c r="A5" s="16" t="inlineStr"/>
      <c r="B5" s="16" t="inlineStr">
        <is>
          <t>Intro 4</t>
        </is>
      </c>
      <c r="C5" s="16" t="inlineStr"/>
      <c r="D5" s="16" t="inlineStr"/>
      <c r="E5" s="17" t="inlineStr">
        <is>
          <t>Không phát hiện lỗi</t>
        </is>
      </c>
      <c r="F5" s="17" t="inlineStr"/>
      <c r="G5" s="17" t="inlineStr"/>
      <c r="H5" s="17" t="inlineStr"/>
    </row>
    <row r="6">
      <c r="A6" s="16" t="inlineStr"/>
      <c r="B6" s="16" t="inlineStr">
        <is>
          <t>Intro 5</t>
        </is>
      </c>
      <c r="C6" s="16" t="inlineStr"/>
      <c r="D6" s="16" t="inlineStr"/>
      <c r="E6" s="17" t="inlineStr">
        <is>
          <t>Không phát hiện lỗi</t>
        </is>
      </c>
      <c r="F6" s="17" t="inlineStr"/>
      <c r="G6" s="17" t="inlineStr"/>
      <c r="H6" s="17" t="inlineStr"/>
    </row>
    <row r="7">
      <c r="A7" s="5" t="n">
        <v>3</v>
      </c>
      <c r="B7" s="5" t="inlineStr">
        <is>
          <t>Intro 6</t>
        </is>
      </c>
      <c r="C7" s="5" t="inlineStr">
        <is>
          <t>[UI]</t>
        </is>
      </c>
      <c r="D7" s="15" t="inlineStr">
        <is>
          <t>Low</t>
        </is>
      </c>
      <c r="E7" s="14" t="inlineStr">
        <is>
          <t>[UI][Intro 6] Thiếu line-art minh hoạ theo spec ở các màn nhập giờ/ngày sinh (clock-face, wheel thứ hai)</t>
        </is>
      </c>
      <c r="F7" s="14" t="inlineStr">
        <is>
          <t>- Màn birth_time (Intro 6) và ex_birth_time (Intro 9) chỉ có 3 select Hour/Min/AM và dòng hint, không có hình clock-face; màn ex_birth_date (Intro 8) không hiển thị wheel thứ hai mờ bên cạnh; phần giữa màn để trống.</t>
        </is>
      </c>
      <c r="G7" s="14" t="inlineStr">
        <is>
          <t>- Theo spec: #6 "Clock-face line art with tiny zodiac glyphs on the rim"; #8 "a second wheel appears faintly beside the first"; #9 "Clock face as in #6, second wheel glows".</t>
        </is>
      </c>
      <c r="H7" s="14" t="inlineStr">
        <is>
          <t>Screenshot/Video: screens/06-birth_time-small.png, screens/08-ex_birth_date-small.png, screens/09-ex_birth_time-small.png</t>
        </is>
      </c>
    </row>
    <row r="8">
      <c r="A8" s="16" t="inlineStr"/>
      <c r="B8" s="16" t="inlineStr">
        <is>
          <t>Intro 7</t>
        </is>
      </c>
      <c r="C8" s="16" t="inlineStr"/>
      <c r="D8" s="16" t="inlineStr"/>
      <c r="E8" s="17" t="inlineStr">
        <is>
          <t>Không phát hiện lỗi</t>
        </is>
      </c>
      <c r="F8" s="17" t="inlineStr"/>
      <c r="G8" s="17" t="inlineStr"/>
      <c r="H8" s="17" t="inlineStr"/>
    </row>
    <row r="9">
      <c r="A9" s="5" t="n">
        <v>4</v>
      </c>
      <c r="B9" s="5" t="inlineStr">
        <is>
          <t>Intro 8</t>
        </is>
      </c>
      <c r="C9" s="5" t="inlineStr">
        <is>
          <t>[UI]</t>
        </is>
      </c>
      <c r="D9" s="15" t="inlineStr">
        <is>
          <t>Low</t>
        </is>
      </c>
      <c r="E9" s="14" t="inlineStr">
        <is>
          <t>[UI][Intro 8] Chip Sun sign của người kia dùng icon mặt trăng, khác icon mặt trời của chip Sun sign người dùng</t>
        </is>
      </c>
      <c r="F9" s="14" t="inlineStr">
        <is>
          <t>- Sau khi chọn ngày sinh (Oct 3 1992) ở màn ex_birth_date, chip "Libra" hiển thị icon mặt trăng màu xanh; trong khi chip Sun sign của người dùng ở màn birth_date ("Taurus") dùng icon mặt trời màu vàng. Icon mặt trăng dễ bị hiểu là Moon sign.</t>
        </is>
      </c>
      <c r="G9" s="14" t="inlineStr">
        <is>
          <t>- Cần đối chiếu Figma: icon của chip Sun sign người kia. Spec chưa định nghĩa – cần Designer confirm.</t>
        </is>
      </c>
      <c r="H9" s="14" t="inlineStr">
        <is>
          <t>Screenshot/Video: screens/08-ex_birth_date-small.png, screens/05-birth_date-small.png</t>
        </is>
      </c>
    </row>
    <row r="10">
      <c r="A10" s="16" t="inlineStr"/>
      <c r="B10" s="16" t="inlineStr">
        <is>
          <t>Intro 9</t>
        </is>
      </c>
      <c r="C10" s="16" t="inlineStr"/>
      <c r="D10" s="16" t="inlineStr"/>
      <c r="E10" s="17" t="inlineStr">
        <is>
          <t>Không phát hiện lỗi</t>
        </is>
      </c>
      <c r="F10" s="17" t="inlineStr"/>
      <c r="G10" s="17" t="inlineStr"/>
      <c r="H10" s="17" t="inlineStr"/>
    </row>
    <row r="11">
      <c r="A11" s="16" t="inlineStr"/>
      <c r="B11" s="16" t="inlineStr">
        <is>
          <t>Intro 10</t>
        </is>
      </c>
      <c r="C11" s="16" t="inlineStr"/>
      <c r="D11" s="16" t="inlineStr"/>
      <c r="E11" s="17" t="inlineStr">
        <is>
          <t>Không phát hiện lỗi</t>
        </is>
      </c>
      <c r="F11" s="17" t="inlineStr"/>
      <c r="G11" s="17" t="inlineStr"/>
      <c r="H11" s="17" t="inlineStr"/>
    </row>
    <row r="12">
      <c r="A12" s="16" t="inlineStr"/>
      <c r="B12" s="16" t="inlineStr">
        <is>
          <t>Intro 11</t>
        </is>
      </c>
      <c r="C12" s="16" t="inlineStr"/>
      <c r="D12" s="16" t="inlineStr"/>
      <c r="E12" s="17" t="inlineStr">
        <is>
          <t>Không phát hiện lỗi</t>
        </is>
      </c>
      <c r="F12" s="17" t="inlineStr"/>
      <c r="G12" s="17" t="inlineStr"/>
      <c r="H12" s="17" t="inlineStr"/>
    </row>
    <row r="13">
      <c r="A13" s="16" t="inlineStr"/>
      <c r="B13" s="16" t="inlineStr">
        <is>
          <t>Intro 12</t>
        </is>
      </c>
      <c r="C13" s="16" t="inlineStr"/>
      <c r="D13" s="16" t="inlineStr"/>
      <c r="E13" s="17" t="inlineStr">
        <is>
          <t>Không phát hiện lỗi</t>
        </is>
      </c>
      <c r="F13" s="17" t="inlineStr"/>
      <c r="G13" s="17" t="inlineStr"/>
      <c r="H13" s="17" t="inlineStr"/>
    </row>
    <row r="14">
      <c r="A14" s="16" t="inlineStr"/>
      <c r="B14" s="16" t="inlineStr">
        <is>
          <t>Intro 13</t>
        </is>
      </c>
      <c r="C14" s="16" t="inlineStr"/>
      <c r="D14" s="16" t="inlineStr"/>
      <c r="E14" s="17" t="inlineStr">
        <is>
          <t>Không phát hiện lỗi</t>
        </is>
      </c>
      <c r="F14" s="17" t="inlineStr"/>
      <c r="G14" s="17" t="inlineStr"/>
      <c r="H14" s="17" t="inlineStr"/>
    </row>
    <row r="15">
      <c r="A15" s="5" t="n">
        <v>5</v>
      </c>
      <c r="B15" s="5" t="inlineStr">
        <is>
          <t>Intro 14</t>
        </is>
      </c>
      <c r="C15" s="5" t="inlineStr">
        <is>
          <t>[UI]</t>
        </is>
      </c>
      <c r="D15" s="15" t="inlineStr">
        <is>
          <t>Low</t>
        </is>
      </c>
      <c r="E15" s="14" t="inlineStr">
        <is>
          <t>[UI][Intro 14] Thiếu sign chip dưới mỗi wheel ở màn "Taurus meets Libra"</t>
        </is>
      </c>
      <c r="F15" s="14" t="inlineStr">
        <is>
          <t>- Màn bridge (id: charts_meet) hiển thị 2 wheel chồng nhau, headline "Taurus meets Libra", progress ring và step text; không có chip tên cung dưới mỗi wheel.</t>
        </is>
      </c>
      <c r="G15" s="14" t="inlineStr">
        <is>
          <t>- Theo spec #14 Visual: "The two wheels drift together and overlap, sign chips appear under each."</t>
        </is>
      </c>
      <c r="H15" s="14" t="inlineStr">
        <is>
          <t>Screenshot/Video: screens/14-charts_meet-small.png, screens/14-charts_meet-large.png</t>
        </is>
      </c>
    </row>
    <row r="16">
      <c r="A16" s="16" t="inlineStr"/>
      <c r="B16" s="16" t="inlineStr">
        <is>
          <t>Intro 15</t>
        </is>
      </c>
      <c r="C16" s="16" t="inlineStr"/>
      <c r="D16" s="16" t="inlineStr"/>
      <c r="E16" s="17" t="inlineStr">
        <is>
          <t>Không phát hiện lỗi</t>
        </is>
      </c>
      <c r="F16" s="17" t="inlineStr"/>
      <c r="G16" s="17" t="inlineStr"/>
      <c r="H16" s="17" t="inlineStr"/>
    </row>
    <row r="17">
      <c r="A17" s="16" t="inlineStr"/>
      <c r="B17" s="16" t="inlineStr">
        <is>
          <t>Intro 16</t>
        </is>
      </c>
      <c r="C17" s="16" t="inlineStr"/>
      <c r="D17" s="16" t="inlineStr"/>
      <c r="E17" s="17" t="inlineStr">
        <is>
          <t>Không phát hiện lỗi</t>
        </is>
      </c>
      <c r="F17" s="17" t="inlineStr"/>
      <c r="G17" s="17" t="inlineStr"/>
      <c r="H17" s="17" t="inlineStr"/>
    </row>
    <row r="18">
      <c r="A18" s="16" t="inlineStr"/>
      <c r="B18" s="16" t="inlineStr">
        <is>
          <t>Intro 17</t>
        </is>
      </c>
      <c r="C18" s="16" t="inlineStr"/>
      <c r="D18" s="16" t="inlineStr"/>
      <c r="E18" s="17" t="inlineStr">
        <is>
          <t>Không phát hiện lỗi</t>
        </is>
      </c>
      <c r="F18" s="17" t="inlineStr"/>
      <c r="G18" s="17" t="inlineStr"/>
      <c r="H18" s="17" t="inlineStr"/>
    </row>
    <row r="19">
      <c r="A19" s="16" t="inlineStr"/>
      <c r="B19" s="16" t="inlineStr">
        <is>
          <t>Intro 18</t>
        </is>
      </c>
      <c r="C19" s="16" t="inlineStr"/>
      <c r="D19" s="16" t="inlineStr"/>
      <c r="E19" s="17" t="inlineStr">
        <is>
          <t>Không phát hiện lỗi</t>
        </is>
      </c>
      <c r="F19" s="17" t="inlineStr"/>
      <c r="G19" s="17" t="inlineStr"/>
      <c r="H19" s="17" t="inlineStr"/>
    </row>
    <row r="20">
      <c r="A20" s="5" t="n">
        <v>6</v>
      </c>
      <c r="B20" s="5" t="inlineStr">
        <is>
          <t>Intro 19</t>
        </is>
      </c>
      <c r="C20" s="5" t="inlineStr">
        <is>
          <t>[UI]</t>
        </is>
      </c>
      <c r="D20" s="15" t="inlineStr">
        <is>
          <t>Low</t>
        </is>
      </c>
      <c r="E20" s="14" t="inlineStr">
        <is>
          <t>[UI][Intro 19] Title loader "Comparing your two charts" nằm sát mép trên, nội dung dồn lên trên và để trống lớn phía dưới trên large</t>
        </is>
      </c>
      <c r="F20" s="14" t="inlineStr">
        <is>
          <t>- Màn loader (id: loader) không có header; title "Comparing your two charts" nằm sát mép trên màn hình (cao hơn vị trí title của các màn khác có header), toàn bộ wheel + progress ring + 4 task row dồn lên nửa trên; trên large (430×932) khoảng trống phía dưới chiếm gần một nửa màn. Màn bridge (charts_meet) cùng loại lại căn giữa theo chiều dọc.</t>
        </is>
      </c>
      <c r="G20" s="14" t="inlineStr">
        <is>
          <t>- Cần đối chiếu Figma: top padding của title và vertical alignment của màn loader nên đồng nhất với màn bridge (charts_meet) / các màn có header. Spec chưa định nghĩa – cần Designer confirm.</t>
        </is>
      </c>
      <c r="H20" s="14" t="inlineStr">
        <is>
          <t>Screenshot/Video: screens/19-loader-small.png, screens/19-loader-large.png</t>
        </is>
      </c>
    </row>
    <row r="21">
      <c r="A21" s="16" t="inlineStr"/>
      <c r="B21" s="16" t="inlineStr">
        <is>
          <t>Intro 20</t>
        </is>
      </c>
      <c r="C21" s="16" t="inlineStr"/>
      <c r="D21" s="16" t="inlineStr"/>
      <c r="E21" s="17" t="inlineStr">
        <is>
          <t>Không phát hiện lỗi</t>
        </is>
      </c>
      <c r="F21" s="17" t="inlineStr"/>
      <c r="G21" s="17" t="inlineStr"/>
      <c r="H21" s="17" t="inlineStr"/>
    </row>
    <row r="22">
      <c r="A22" s="16" t="inlineStr"/>
      <c r="B22" s="16" t="inlineStr">
        <is>
          <t>Intro 21</t>
        </is>
      </c>
      <c r="C22" s="16" t="inlineStr"/>
      <c r="D22" s="16" t="inlineStr"/>
      <c r="E22" s="17" t="inlineStr">
        <is>
          <t>Không phát hiện lỗi</t>
        </is>
      </c>
      <c r="F22" s="17" t="inlineStr"/>
      <c r="G22" s="17" t="inlineStr"/>
      <c r="H22" s="17" t="inlineStr"/>
    </row>
    <row r="23">
      <c r="A23" s="5" t="n">
        <v>7</v>
      </c>
      <c r="B23" s="5" t="inlineStr">
        <is>
          <t>Paywall 1</t>
        </is>
      </c>
      <c r="C23" s="5" t="inlineStr">
        <is>
          <t>[UI]</t>
        </is>
      </c>
      <c r="D23" s="13" t="inlineStr">
        <is>
          <t>High</t>
        </is>
      </c>
      <c r="E23" s="14" t="inlineStr">
        <is>
          <t>[UI][Paywall 1] Footer thiếu tên pháp nhân (entity) theo spec</t>
        </is>
      </c>
      <c r="F23" s="14" t="inlineStr">
        <is>
          <t>- Footer cuối Paywall 1 chỉ hiển thị 3 link "Terms of Use" · "Privacy Policy" · "Subscription terms" và dòng "For entertainment purposes only."; không có dòng tên pháp nhân/công ty.</t>
        </is>
      </c>
      <c r="G23" s="14" t="inlineStr">
        <is>
          <t>- Theo spec mục 22 – section 9 "Footer: legal links, entity, entertainment disclaimer": footer cần hiển thị tên pháp nhân bên cạnh legal links và disclaimer.</t>
        </is>
      </c>
      <c r="H23" s="14" t="inlineStr">
        <is>
          <t>Screenshot/Video: screens/22-paywall-small-p4.png, screens/22-paywall-large-p4.png</t>
        </is>
      </c>
    </row>
    <row r="24">
      <c r="A24" s="5" t="n">
        <v>8</v>
      </c>
      <c r="B24" s="5" t="inlineStr">
        <is>
          <t>Paywall 1</t>
        </is>
      </c>
      <c r="C24" s="5" t="inlineStr">
        <is>
          <t>[UI]</t>
        </is>
      </c>
      <c r="D24" s="15" t="inlineStr">
        <is>
          <t>Low</t>
        </is>
      </c>
      <c r="E24" s="14" t="inlineStr">
        <is>
          <t>[UI][Paywall 1] Dòng "Due today" lặp chữ "today" ở giá trị "$13.67 today"</t>
        </is>
      </c>
      <c r="F24" s="14" t="inlineStr">
        <is>
          <t>- Trong plan block (cả block đầu và block cuối trang), dòng tổng hiển thị label "Due today" và giá trị "$13.67 today", chữ "today" bị lặp trên cùng một dòng.</t>
        </is>
      </c>
      <c r="G24" s="14" t="inlineStr">
        <is>
          <t>- Spec chưa định nghĩa – cần PM/Designer confirm copy dòng "Due today" (vd. giá trị chỉ hiển thị "$13.67").</t>
        </is>
      </c>
      <c r="H24" s="14" t="inlineStr">
        <is>
          <t>Screenshot/Video: screens/22-paywall-small-p4.png, screens/22-paywall-large-p1.png</t>
        </is>
      </c>
    </row>
    <row r="25">
      <c r="A25" s="16" t="inlineStr"/>
      <c r="B25" s="16" t="inlineStr">
        <is>
          <t>Upsale 1</t>
        </is>
      </c>
      <c r="C25" s="16" t="inlineStr"/>
      <c r="D25" s="16" t="inlineStr"/>
      <c r="E25" s="17" t="inlineStr">
        <is>
          <t>Không phát hiện lỗi</t>
        </is>
      </c>
      <c r="F25" s="17" t="inlineStr"/>
      <c r="G25" s="17" t="inlineStr"/>
      <c r="H25" s="17" t="inlineStr"/>
    </row>
    <row r="26">
      <c r="A26" s="5" t="n">
        <v>9</v>
      </c>
      <c r="B26" s="5" t="inlineStr">
        <is>
          <t>Download App</t>
        </is>
      </c>
      <c r="C26" s="5" t="inlineStr">
        <is>
          <t>[UI]</t>
        </is>
      </c>
      <c r="D26" s="18" t="inlineStr">
        <is>
          <t>Medium</t>
        </is>
      </c>
      <c r="E26" s="14" t="inlineStr">
        <is>
          <t>[UI][Download App] Badge App Store / Google Play dùng icon outline tự vẽ, không phải badge chính thức</t>
        </is>
      </c>
      <c r="F26" s="14" t="inlineStr">
        <is>
          <t>- Hai badge dưới CTA "Open the app" dùng icon outline (hình quả táo không lá, tam giác play) với text "Download on the App Store" / "Get it on Google Play", không phải artwork badge chính thức của Apple/Google.</t>
        </is>
      </c>
      <c r="G26" s="14" t="inlineStr">
        <is>
          <t>- Spec mục 24 yêu cầu "App Store and Google Play badges"; cần dùng badge chính thức theo brand guideline của Apple/Google – cần Designer confirm.</t>
        </is>
      </c>
      <c r="H26" s="14" t="inlineStr">
        <is>
          <t>Screenshot/Video: screens/24-get_app-small.png, screens/24-get_app-large.png</t>
        </is>
      </c>
    </row>
  </sheetData>
  <autoFilter ref="A1:H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2026-10-06T08:51:21Z</dcterms:created>
  <dcterms:modified xmlns:dcterms="http://purl.org/dc/terms/" xmlns:xsi="http://www.w3.org/2001/XMLSchema-instance" xsi:type="dcterms:W3CDTF">2026-10-06T08:51:21Z</dcterms:modified>
</cp:coreProperties>
</file>