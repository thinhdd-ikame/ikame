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ist" sheetId="2" state="visible" r:id="rId2"/>
  </sheets>
  <definedNames>
    <definedName name="_xlnm._FilterDatabase" localSheetId="1" hidden="1">'Bug List'!$A$1:$H$23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4B6B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2" fillId="0" borderId="1" pivotButton="0" quotePrefix="0" xfId="0"/>
    <xf numFmtId="0" fontId="2" fillId="7" borderId="1" pivotButton="0" quotePrefix="0" xfId="0"/>
    <xf numFmtId="0" fontId="2" fillId="4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Tổng hợp bug</t>
        </is>
      </c>
    </row>
    <row r="2">
      <c r="A2" s="2" t="inlineStr">
        <is>
          <t>Project: Starlyn – tarot</t>
        </is>
      </c>
    </row>
    <row r="3">
      <c r="A3" s="2" t="inlineStr">
        <is>
          <t>Tester: Claude Code</t>
        </is>
      </c>
    </row>
    <row r="4">
      <c r="A4" s="2" t="inlineStr">
        <is>
          <t>Ngày export: 06/10/2026</t>
        </is>
      </c>
    </row>
    <row r="6">
      <c r="A6" s="3" t="inlineStr">
        <is>
          <t>Screen</t>
        </is>
      </c>
      <c r="B6" s="3" t="inlineStr">
        <is>
          <t>[UI/UX]</t>
        </is>
      </c>
      <c r="C6" s="3" t="inlineStr">
        <is>
          <t>[UI]</t>
        </is>
      </c>
      <c r="D6" s="3" t="inlineStr">
        <is>
          <t>[UI][Responsive]</t>
        </is>
      </c>
      <c r="E6" s="3" t="inlineStr">
        <is>
          <t>Tổng</t>
        </is>
      </c>
    </row>
    <row r="7">
      <c r="A7" s="4" t="inlineStr">
        <is>
          <t>Intro 1</t>
        </is>
      </c>
      <c r="B7" s="5">
        <f>COUNTIFS('Bug List'!$B$2:$B$23,$A7,'Bug List'!$C$2:$C$23,B$6)</f>
        <v/>
      </c>
      <c r="C7" s="5">
        <f>COUNTIFS('Bug List'!$B$2:$B$23,$A7,'Bug List'!$C$2:$C$23,C$6)</f>
        <v/>
      </c>
      <c r="D7" s="5">
        <f>COUNTIFS('Bug List'!$B$2:$B$23,$A7,'Bug List'!$C$2:$C$23,D$6)</f>
        <v/>
      </c>
      <c r="E7" s="5">
        <f>SUM(B7:D7)</f>
        <v/>
      </c>
    </row>
    <row r="8">
      <c r="A8" s="4" t="inlineStr">
        <is>
          <t>Intro 2</t>
        </is>
      </c>
      <c r="B8" s="5">
        <f>COUNTIFS('Bug List'!$B$2:$B$23,$A8,'Bug List'!$C$2:$C$23,B$6)</f>
        <v/>
      </c>
      <c r="C8" s="5">
        <f>COUNTIFS('Bug List'!$B$2:$B$23,$A8,'Bug List'!$C$2:$C$23,C$6)</f>
        <v/>
      </c>
      <c r="D8" s="5">
        <f>COUNTIFS('Bug List'!$B$2:$B$23,$A8,'Bug List'!$C$2:$C$23,D$6)</f>
        <v/>
      </c>
      <c r="E8" s="5">
        <f>SUM(B8:D8)</f>
        <v/>
      </c>
    </row>
    <row r="9">
      <c r="A9" s="4" t="inlineStr">
        <is>
          <t>Intro 3</t>
        </is>
      </c>
      <c r="B9" s="5">
        <f>COUNTIFS('Bug List'!$B$2:$B$23,$A9,'Bug List'!$C$2:$C$23,B$6)</f>
        <v/>
      </c>
      <c r="C9" s="5">
        <f>COUNTIFS('Bug List'!$B$2:$B$23,$A9,'Bug List'!$C$2:$C$23,C$6)</f>
        <v/>
      </c>
      <c r="D9" s="5">
        <f>COUNTIFS('Bug List'!$B$2:$B$23,$A9,'Bug List'!$C$2:$C$23,D$6)</f>
        <v/>
      </c>
      <c r="E9" s="5">
        <f>SUM(B9:D9)</f>
        <v/>
      </c>
    </row>
    <row r="10">
      <c r="A10" s="4" t="inlineStr">
        <is>
          <t>Intro 4</t>
        </is>
      </c>
      <c r="B10" s="5">
        <f>COUNTIFS('Bug List'!$B$2:$B$23,$A10,'Bug List'!$C$2:$C$23,B$6)</f>
        <v/>
      </c>
      <c r="C10" s="5">
        <f>COUNTIFS('Bug List'!$B$2:$B$23,$A10,'Bug List'!$C$2:$C$23,C$6)</f>
        <v/>
      </c>
      <c r="D10" s="5">
        <f>COUNTIFS('Bug List'!$B$2:$B$23,$A10,'Bug List'!$C$2:$C$23,D$6)</f>
        <v/>
      </c>
      <c r="E10" s="5">
        <f>SUM(B10:D10)</f>
        <v/>
      </c>
    </row>
    <row r="11">
      <c r="A11" s="4" t="inlineStr">
        <is>
          <t>Intro 5</t>
        </is>
      </c>
      <c r="B11" s="5">
        <f>COUNTIFS('Bug List'!$B$2:$B$23,$A11,'Bug List'!$C$2:$C$23,B$6)</f>
        <v/>
      </c>
      <c r="C11" s="5">
        <f>COUNTIFS('Bug List'!$B$2:$B$23,$A11,'Bug List'!$C$2:$C$23,C$6)</f>
        <v/>
      </c>
      <c r="D11" s="5">
        <f>COUNTIFS('Bug List'!$B$2:$B$23,$A11,'Bug List'!$C$2:$C$23,D$6)</f>
        <v/>
      </c>
      <c r="E11" s="5">
        <f>SUM(B11:D11)</f>
        <v/>
      </c>
    </row>
    <row r="12">
      <c r="A12" s="4" t="inlineStr">
        <is>
          <t>Intro 6</t>
        </is>
      </c>
      <c r="B12" s="5">
        <f>COUNTIFS('Bug List'!$B$2:$B$23,$A12,'Bug List'!$C$2:$C$23,B$6)</f>
        <v/>
      </c>
      <c r="C12" s="5">
        <f>COUNTIFS('Bug List'!$B$2:$B$23,$A12,'Bug List'!$C$2:$C$23,C$6)</f>
        <v/>
      </c>
      <c r="D12" s="5">
        <f>COUNTIFS('Bug List'!$B$2:$B$23,$A12,'Bug List'!$C$2:$C$23,D$6)</f>
        <v/>
      </c>
      <c r="E12" s="5">
        <f>SUM(B12:D12)</f>
        <v/>
      </c>
    </row>
    <row r="13">
      <c r="A13" s="4" t="inlineStr">
        <is>
          <t>Intro 7</t>
        </is>
      </c>
      <c r="B13" s="5">
        <f>COUNTIFS('Bug List'!$B$2:$B$23,$A13,'Bug List'!$C$2:$C$23,B$6)</f>
        <v/>
      </c>
      <c r="C13" s="5">
        <f>COUNTIFS('Bug List'!$B$2:$B$23,$A13,'Bug List'!$C$2:$C$23,C$6)</f>
        <v/>
      </c>
      <c r="D13" s="5">
        <f>COUNTIFS('Bug List'!$B$2:$B$23,$A13,'Bug List'!$C$2:$C$23,D$6)</f>
        <v/>
      </c>
      <c r="E13" s="5">
        <f>SUM(B13:D13)</f>
        <v/>
      </c>
    </row>
    <row r="14">
      <c r="A14" s="4" t="inlineStr">
        <is>
          <t>Intro 8</t>
        </is>
      </c>
      <c r="B14" s="5">
        <f>COUNTIFS('Bug List'!$B$2:$B$23,$A14,'Bug List'!$C$2:$C$23,B$6)</f>
        <v/>
      </c>
      <c r="C14" s="5">
        <f>COUNTIFS('Bug List'!$B$2:$B$23,$A14,'Bug List'!$C$2:$C$23,C$6)</f>
        <v/>
      </c>
      <c r="D14" s="5">
        <f>COUNTIFS('Bug List'!$B$2:$B$23,$A14,'Bug List'!$C$2:$C$23,D$6)</f>
        <v/>
      </c>
      <c r="E14" s="5">
        <f>SUM(B14:D14)</f>
        <v/>
      </c>
    </row>
    <row r="15">
      <c r="A15" s="4" t="inlineStr">
        <is>
          <t>Intro 9</t>
        </is>
      </c>
      <c r="B15" s="5">
        <f>COUNTIFS('Bug List'!$B$2:$B$23,$A15,'Bug List'!$C$2:$C$23,B$6)</f>
        <v/>
      </c>
      <c r="C15" s="5">
        <f>COUNTIFS('Bug List'!$B$2:$B$23,$A15,'Bug List'!$C$2:$C$23,C$6)</f>
        <v/>
      </c>
      <c r="D15" s="5">
        <f>COUNTIFS('Bug List'!$B$2:$B$23,$A15,'Bug List'!$C$2:$C$23,D$6)</f>
        <v/>
      </c>
      <c r="E15" s="5">
        <f>SUM(B15:D15)</f>
        <v/>
      </c>
    </row>
    <row r="16">
      <c r="A16" s="4" t="inlineStr">
        <is>
          <t>Intro 10</t>
        </is>
      </c>
      <c r="B16" s="5">
        <f>COUNTIFS('Bug List'!$B$2:$B$23,$A16,'Bug List'!$C$2:$C$23,B$6)</f>
        <v/>
      </c>
      <c r="C16" s="5">
        <f>COUNTIFS('Bug List'!$B$2:$B$23,$A16,'Bug List'!$C$2:$C$23,C$6)</f>
        <v/>
      </c>
      <c r="D16" s="5">
        <f>COUNTIFS('Bug List'!$B$2:$B$23,$A16,'Bug List'!$C$2:$C$23,D$6)</f>
        <v/>
      </c>
      <c r="E16" s="5">
        <f>SUM(B16:D16)</f>
        <v/>
      </c>
    </row>
    <row r="17">
      <c r="A17" s="4" t="inlineStr">
        <is>
          <t>Intro 11</t>
        </is>
      </c>
      <c r="B17" s="5">
        <f>COUNTIFS('Bug List'!$B$2:$B$23,$A17,'Bug List'!$C$2:$C$23,B$6)</f>
        <v/>
      </c>
      <c r="C17" s="5">
        <f>COUNTIFS('Bug List'!$B$2:$B$23,$A17,'Bug List'!$C$2:$C$23,C$6)</f>
        <v/>
      </c>
      <c r="D17" s="5">
        <f>COUNTIFS('Bug List'!$B$2:$B$23,$A17,'Bug List'!$C$2:$C$23,D$6)</f>
        <v/>
      </c>
      <c r="E17" s="5">
        <f>SUM(B17:D17)</f>
        <v/>
      </c>
    </row>
    <row r="18">
      <c r="A18" s="4" t="inlineStr">
        <is>
          <t>Intro 12</t>
        </is>
      </c>
      <c r="B18" s="5">
        <f>COUNTIFS('Bug List'!$B$2:$B$23,$A18,'Bug List'!$C$2:$C$23,B$6)</f>
        <v/>
      </c>
      <c r="C18" s="5">
        <f>COUNTIFS('Bug List'!$B$2:$B$23,$A18,'Bug List'!$C$2:$C$23,C$6)</f>
        <v/>
      </c>
      <c r="D18" s="5">
        <f>COUNTIFS('Bug List'!$B$2:$B$23,$A18,'Bug List'!$C$2:$C$23,D$6)</f>
        <v/>
      </c>
      <c r="E18" s="5">
        <f>SUM(B18:D18)</f>
        <v/>
      </c>
    </row>
    <row r="19">
      <c r="A19" s="4" t="inlineStr">
        <is>
          <t>Intro 13</t>
        </is>
      </c>
      <c r="B19" s="5">
        <f>COUNTIFS('Bug List'!$B$2:$B$23,$A19,'Bug List'!$C$2:$C$23,B$6)</f>
        <v/>
      </c>
      <c r="C19" s="5">
        <f>COUNTIFS('Bug List'!$B$2:$B$23,$A19,'Bug List'!$C$2:$C$23,C$6)</f>
        <v/>
      </c>
      <c r="D19" s="5">
        <f>COUNTIFS('Bug List'!$B$2:$B$23,$A19,'Bug List'!$C$2:$C$23,D$6)</f>
        <v/>
      </c>
      <c r="E19" s="5">
        <f>SUM(B19:D19)</f>
        <v/>
      </c>
    </row>
    <row r="20">
      <c r="A20" s="4" t="inlineStr">
        <is>
          <t>Intro 14</t>
        </is>
      </c>
      <c r="B20" s="5">
        <f>COUNTIFS('Bug List'!$B$2:$B$23,$A20,'Bug List'!$C$2:$C$23,B$6)</f>
        <v/>
      </c>
      <c r="C20" s="5">
        <f>COUNTIFS('Bug List'!$B$2:$B$23,$A20,'Bug List'!$C$2:$C$23,C$6)</f>
        <v/>
      </c>
      <c r="D20" s="5">
        <f>COUNTIFS('Bug List'!$B$2:$B$23,$A20,'Bug List'!$C$2:$C$23,D$6)</f>
        <v/>
      </c>
      <c r="E20" s="5">
        <f>SUM(B20:D20)</f>
        <v/>
      </c>
    </row>
    <row r="21">
      <c r="A21" s="4" t="inlineStr">
        <is>
          <t>Intro 15</t>
        </is>
      </c>
      <c r="B21" s="5">
        <f>COUNTIFS('Bug List'!$B$2:$B$23,$A21,'Bug List'!$C$2:$C$23,B$6)</f>
        <v/>
      </c>
      <c r="C21" s="5">
        <f>COUNTIFS('Bug List'!$B$2:$B$23,$A21,'Bug List'!$C$2:$C$23,C$6)</f>
        <v/>
      </c>
      <c r="D21" s="5">
        <f>COUNTIFS('Bug List'!$B$2:$B$23,$A21,'Bug List'!$C$2:$C$23,D$6)</f>
        <v/>
      </c>
      <c r="E21" s="5">
        <f>SUM(B21:D21)</f>
        <v/>
      </c>
    </row>
    <row r="22">
      <c r="A22" s="4" t="inlineStr">
        <is>
          <t>Intro 16</t>
        </is>
      </c>
      <c r="B22" s="5">
        <f>COUNTIFS('Bug List'!$B$2:$B$23,$A22,'Bug List'!$C$2:$C$23,B$6)</f>
        <v/>
      </c>
      <c r="C22" s="5">
        <f>COUNTIFS('Bug List'!$B$2:$B$23,$A22,'Bug List'!$C$2:$C$23,C$6)</f>
        <v/>
      </c>
      <c r="D22" s="5">
        <f>COUNTIFS('Bug List'!$B$2:$B$23,$A22,'Bug List'!$C$2:$C$23,D$6)</f>
        <v/>
      </c>
      <c r="E22" s="5">
        <f>SUM(B22:D22)</f>
        <v/>
      </c>
    </row>
    <row r="23">
      <c r="A23" s="4" t="inlineStr">
        <is>
          <t>Intro 17</t>
        </is>
      </c>
      <c r="B23" s="5">
        <f>COUNTIFS('Bug List'!$B$2:$B$23,$A23,'Bug List'!$C$2:$C$23,B$6)</f>
        <v/>
      </c>
      <c r="C23" s="5">
        <f>COUNTIFS('Bug List'!$B$2:$B$23,$A23,'Bug List'!$C$2:$C$23,C$6)</f>
        <v/>
      </c>
      <c r="D23" s="5">
        <f>COUNTIFS('Bug List'!$B$2:$B$23,$A23,'Bug List'!$C$2:$C$23,D$6)</f>
        <v/>
      </c>
      <c r="E23" s="5">
        <f>SUM(B23:D23)</f>
        <v/>
      </c>
    </row>
    <row r="24">
      <c r="A24" s="4" t="inlineStr">
        <is>
          <t>Paywall 1</t>
        </is>
      </c>
      <c r="B24" s="5">
        <f>COUNTIFS('Bug List'!$B$2:$B$23,$A24,'Bug List'!$C$2:$C$23,B$6)</f>
        <v/>
      </c>
      <c r="C24" s="5">
        <f>COUNTIFS('Bug List'!$B$2:$B$23,$A24,'Bug List'!$C$2:$C$23,C$6)</f>
        <v/>
      </c>
      <c r="D24" s="5">
        <f>COUNTIFS('Bug List'!$B$2:$B$23,$A24,'Bug List'!$C$2:$C$23,D$6)</f>
        <v/>
      </c>
      <c r="E24" s="5">
        <f>SUM(B24:D24)</f>
        <v/>
      </c>
    </row>
    <row r="25">
      <c r="A25" s="4" t="inlineStr">
        <is>
          <t>Upsale 1</t>
        </is>
      </c>
      <c r="B25" s="5">
        <f>COUNTIFS('Bug List'!$B$2:$B$23,$A25,'Bug List'!$C$2:$C$23,B$6)</f>
        <v/>
      </c>
      <c r="C25" s="5">
        <f>COUNTIFS('Bug List'!$B$2:$B$23,$A25,'Bug List'!$C$2:$C$23,C$6)</f>
        <v/>
      </c>
      <c r="D25" s="5">
        <f>COUNTIFS('Bug List'!$B$2:$B$23,$A25,'Bug List'!$C$2:$C$23,D$6)</f>
        <v/>
      </c>
      <c r="E25" s="5">
        <f>SUM(B25:D25)</f>
        <v/>
      </c>
    </row>
    <row r="26">
      <c r="A26" s="4" t="inlineStr">
        <is>
          <t>Download App</t>
        </is>
      </c>
      <c r="B26" s="5">
        <f>COUNTIFS('Bug List'!$B$2:$B$23,$A26,'Bug List'!$C$2:$C$23,B$6)</f>
        <v/>
      </c>
      <c r="C26" s="5">
        <f>COUNTIFS('Bug List'!$B$2:$B$23,$A26,'Bug List'!$C$2:$C$23,C$6)</f>
        <v/>
      </c>
      <c r="D26" s="5">
        <f>COUNTIFS('Bug List'!$B$2:$B$23,$A26,'Bug List'!$C$2:$C$23,D$6)</f>
        <v/>
      </c>
      <c r="E26" s="5">
        <f>SUM(B26:D26)</f>
        <v/>
      </c>
    </row>
    <row r="27">
      <c r="A27" s="6" t="inlineStr">
        <is>
          <t>Tổng</t>
        </is>
      </c>
      <c r="B27" s="7">
        <f>SUM(B7:B26)</f>
        <v/>
      </c>
      <c r="C27" s="7">
        <f>SUM(C7:C26)</f>
        <v/>
      </c>
      <c r="D27" s="7">
        <f>SUM(D7:D26)</f>
        <v/>
      </c>
      <c r="E27" s="7">
        <f>SUM(E7:E26)</f>
        <v/>
      </c>
    </row>
    <row r="29">
      <c r="A29" s="3" t="inlineStr">
        <is>
          <t>Severity</t>
        </is>
      </c>
      <c r="B29" s="3" t="inlineStr">
        <is>
          <t>Số bug</t>
        </is>
      </c>
    </row>
    <row r="30">
      <c r="A30" s="8" t="inlineStr">
        <is>
          <t>Critical</t>
        </is>
      </c>
      <c r="B30" s="9">
        <f>COUNTIF('Bug List'!$D$2:$D$23,A30)</f>
        <v/>
      </c>
    </row>
    <row r="31">
      <c r="A31" s="10" t="inlineStr">
        <is>
          <t>High</t>
        </is>
      </c>
      <c r="B31" s="9">
        <f>COUNTIF('Bug List'!$D$2:$D$23,A31)</f>
        <v/>
      </c>
    </row>
    <row r="32">
      <c r="A32" s="11" t="inlineStr">
        <is>
          <t>Medium</t>
        </is>
      </c>
      <c r="B32" s="9">
        <f>COUNTIF('Bug List'!$D$2:$D$23,A32)</f>
        <v/>
      </c>
    </row>
    <row r="33">
      <c r="A33" s="12" t="inlineStr">
        <is>
          <t>Low</t>
        </is>
      </c>
      <c r="B33" s="9">
        <f>COUNTIF('Bug List'!$D$2:$D$23,A33)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0" customWidth="1" min="4" max="4"/>
    <col width="45" customWidth="1" min="5" max="5"/>
    <col width="50" customWidth="1" min="6" max="6"/>
    <col width="50" customWidth="1" min="7" max="7"/>
    <col width="26" customWidth="1" min="8" max="8"/>
  </cols>
  <sheetData>
    <row r="1">
      <c r="A1" s="3" t="inlineStr">
        <is>
          <t>#</t>
        </is>
      </c>
      <c r="B1" s="3" t="inlineStr">
        <is>
          <t>Screen</t>
        </is>
      </c>
      <c r="C1" s="3" t="inlineStr">
        <is>
          <t>Bug Type</t>
        </is>
      </c>
      <c r="D1" s="3" t="inlineStr">
        <is>
          <t>Severity</t>
        </is>
      </c>
      <c r="E1" s="3" t="inlineStr">
        <is>
          <t>Title</t>
        </is>
      </c>
      <c r="F1" s="3" t="inlineStr">
        <is>
          <t>Actual Result</t>
        </is>
      </c>
      <c r="G1" s="3" t="inlineStr">
        <is>
          <t>Expected Result</t>
        </is>
      </c>
      <c r="H1" s="3" t="inlineStr">
        <is>
          <t>Attachment</t>
        </is>
      </c>
    </row>
    <row r="2">
      <c r="A2" s="5" t="n">
        <v>1</v>
      </c>
      <c r="B2" s="5" t="inlineStr">
        <is>
          <t>Intro 1</t>
        </is>
      </c>
      <c r="C2" s="5" t="inlineStr">
        <is>
          <t>[UI]</t>
        </is>
      </c>
      <c r="D2" s="13" t="inlineStr">
        <is>
          <t>Low</t>
        </is>
      </c>
      <c r="E2" s="14" t="inlineStr">
        <is>
          <t>[UI][Intro 1] Ảnh hero không full-bleed, lộ dải nền ở mép trên</t>
        </is>
      </c>
      <c r="F2" s="14" t="inlineStr">
        <is>
          <t>- Ở màn Intro 1 (id: hook), ảnh hero không bắt đầu từ mép trên màn hình: phía trên ảnh lộ một dải nền navy mỏng (cả small và large).</t>
        </is>
      </c>
      <c r="G2" s="14" t="inlineStr">
        <is>
          <t>- Spec: "Full-bleed img/hook-tarot.jpg" – ảnh cần phủ sát mép trên màn hình, không lộ dải nền.</t>
        </is>
      </c>
      <c r="H2" s="14" t="inlineStr">
        <is>
          <t>Screenshot/Video: screens/01-hook-small.png, screens/01-hook-large.png</t>
        </is>
      </c>
    </row>
    <row r="3">
      <c r="A3" s="5" t="n">
        <v>2</v>
      </c>
      <c r="B3" s="5" t="inlineStr">
        <is>
          <t>Intro 1</t>
        </is>
      </c>
      <c r="C3" s="5" t="inlineStr">
        <is>
          <t>[UI]</t>
        </is>
      </c>
      <c r="D3" s="13" t="inlineStr">
        <is>
          <t>Low</t>
        </is>
      </c>
      <c r="E3" s="14" t="inlineStr">
        <is>
          <t>[UI][Intro 1] Chip thứ 3 hiển thị "You pull" thay vì "You pull the cards"</t>
        </is>
      </c>
      <c r="F3" s="14" t="inlineStr">
        <is>
          <t>- Hàng chip dưới body hiển thị: "2-min · Your question · You pull" trên cả small và large.</t>
        </is>
      </c>
      <c r="G3" s="14" t="inlineStr">
        <is>
          <t>- Theo spec: Chips "2-min · Your question · You pull the cards".</t>
        </is>
      </c>
      <c r="H3" s="14" t="inlineStr">
        <is>
          <t>Screenshot/Video: screens/01-hook-small.png, screens/01-hook-large.png</t>
        </is>
      </c>
    </row>
    <row r="4">
      <c r="A4" s="5" t="n">
        <v>3</v>
      </c>
      <c r="B4" s="5" t="inlineStr">
        <is>
          <t>Intro 1</t>
        </is>
      </c>
      <c r="C4" s="5" t="inlineStr">
        <is>
          <t>[UI][Responsive]</t>
        </is>
      </c>
      <c r="D4" s="13" t="inlineStr">
        <is>
          <t>Low</t>
        </is>
      </c>
      <c r="E4" s="14" t="inlineStr">
        <is>
          <t>[UI][Responsive][Intro 1] Viewport large: khoảng trống lớn giữa nội dung và CTA ghim đáy</t>
        </is>
      </c>
      <c r="F4" s="14" t="inlineStr">
        <is>
          <t>- Trên viewport large (430×932), nội dung dồn lên nửa trên, CTA ghim sát đáy, để lại vùng trống rất lớn ở giữa. Lặp lại ở Intro 17 (teaser), Upsale 1 (report_upsell), Download App (get_app).</t>
        </is>
      </c>
      <c r="G4" s="14" t="inlineStr">
        <is>
          <t>- Spec chưa định nghĩa – cần PM/Designer confirm (cân nhắc đưa CTA lên gần nội dung hoặc giãn layout trên màn cao).</t>
        </is>
      </c>
      <c r="H4" s="14" t="inlineStr">
        <is>
          <t>Screenshot/Video: screens/01-hook-large.png, screens/17-teaser-large.png, screens/19-report_upsell-large.png, screens/20-get_app-large.png</t>
        </is>
      </c>
    </row>
    <row r="5">
      <c r="A5" s="15" t="inlineStr"/>
      <c r="B5" s="15" t="inlineStr">
        <is>
          <t>Intro 2</t>
        </is>
      </c>
      <c r="C5" s="15" t="inlineStr"/>
      <c r="D5" s="15" t="inlineStr"/>
      <c r="E5" s="16" t="inlineStr">
        <is>
          <t>Không phát hiện lỗi</t>
        </is>
      </c>
      <c r="F5" s="16" t="inlineStr"/>
      <c r="G5" s="16" t="inlineStr"/>
      <c r="H5" s="16" t="inlineStr"/>
    </row>
    <row r="6">
      <c r="A6" s="15" t="inlineStr"/>
      <c r="B6" s="15" t="inlineStr">
        <is>
          <t>Intro 3</t>
        </is>
      </c>
      <c r="C6" s="15" t="inlineStr"/>
      <c r="D6" s="15" t="inlineStr"/>
      <c r="E6" s="16" t="inlineStr">
        <is>
          <t>Không phát hiện lỗi</t>
        </is>
      </c>
      <c r="F6" s="16" t="inlineStr"/>
      <c r="G6" s="16" t="inlineStr"/>
      <c r="H6" s="16" t="inlineStr"/>
    </row>
    <row r="7">
      <c r="A7" s="15" t="inlineStr"/>
      <c r="B7" s="15" t="inlineStr">
        <is>
          <t>Intro 4</t>
        </is>
      </c>
      <c r="C7" s="15" t="inlineStr"/>
      <c r="D7" s="15" t="inlineStr"/>
      <c r="E7" s="16" t="inlineStr">
        <is>
          <t>Không phát hiện lỗi</t>
        </is>
      </c>
      <c r="F7" s="16" t="inlineStr"/>
      <c r="G7" s="16" t="inlineStr"/>
      <c r="H7" s="16" t="inlineStr"/>
    </row>
    <row r="8">
      <c r="A8" s="15" t="inlineStr"/>
      <c r="B8" s="15" t="inlineStr">
        <is>
          <t>Intro 5</t>
        </is>
      </c>
      <c r="C8" s="15" t="inlineStr"/>
      <c r="D8" s="15" t="inlineStr"/>
      <c r="E8" s="16" t="inlineStr">
        <is>
          <t>Không phát hiện lỗi</t>
        </is>
      </c>
      <c r="F8" s="16" t="inlineStr"/>
      <c r="G8" s="16" t="inlineStr"/>
      <c r="H8" s="16" t="inlineStr"/>
    </row>
    <row r="9">
      <c r="A9" s="5" t="n">
        <v>4</v>
      </c>
      <c r="B9" s="5" t="inlineStr">
        <is>
          <t>Intro 6</t>
        </is>
      </c>
      <c r="C9" s="5" t="inlineStr">
        <is>
          <t>[UI][Responsive]</t>
        </is>
      </c>
      <c r="D9" s="17" t="inlineStr">
        <is>
          <t>Medium</t>
        </is>
      </c>
      <c r="E9" s="14" t="inlineStr">
        <is>
          <t>[UI][Responsive][Intro 6] Ảnh card-back bị cắt mép trên trên màn small</t>
        </is>
      </c>
      <c r="F9" s="14" t="inlineStr">
        <is>
          <t>- Trên viewport small (375×667), ảnh card-back ngay dưới header bị cắt phẳng ở mép trên (mất 2 góc bo phía trên của lá bài). Trên large lá bài hiển thị đầy đủ.</t>
        </is>
      </c>
      <c r="G9" s="14" t="inlineStr">
        <is>
          <t>- Lá bài hiển thị đầy đủ, không bị cắt, giống viewport large.</t>
        </is>
      </c>
      <c r="H9" s="14" t="inlineStr">
        <is>
          <t>Screenshot/Video: screens/06-bridge-small.png, screens/06-bridge-large.png</t>
        </is>
      </c>
    </row>
    <row r="10">
      <c r="A10" s="15" t="inlineStr"/>
      <c r="B10" s="15" t="inlineStr">
        <is>
          <t>Intro 7</t>
        </is>
      </c>
      <c r="C10" s="15" t="inlineStr"/>
      <c r="D10" s="15" t="inlineStr"/>
      <c r="E10" s="16" t="inlineStr">
        <is>
          <t>Không phát hiện lỗi</t>
        </is>
      </c>
      <c r="F10" s="16" t="inlineStr"/>
      <c r="G10" s="16" t="inlineStr"/>
      <c r="H10" s="16" t="inlineStr"/>
    </row>
    <row r="11">
      <c r="A11" s="15" t="inlineStr"/>
      <c r="B11" s="15" t="inlineStr">
        <is>
          <t>Intro 8</t>
        </is>
      </c>
      <c r="C11" s="15" t="inlineStr"/>
      <c r="D11" s="15" t="inlineStr"/>
      <c r="E11" s="16" t="inlineStr">
        <is>
          <t>Không phát hiện lỗi</t>
        </is>
      </c>
      <c r="F11" s="16" t="inlineStr"/>
      <c r="G11" s="16" t="inlineStr"/>
      <c r="H11" s="16" t="inlineStr"/>
    </row>
    <row r="12">
      <c r="A12" s="15" t="inlineStr"/>
      <c r="B12" s="15" t="inlineStr">
        <is>
          <t>Intro 9</t>
        </is>
      </c>
      <c r="C12" s="15" t="inlineStr"/>
      <c r="D12" s="15" t="inlineStr"/>
      <c r="E12" s="16" t="inlineStr">
        <is>
          <t>Không phát hiện lỗi</t>
        </is>
      </c>
      <c r="F12" s="16" t="inlineStr"/>
      <c r="G12" s="16" t="inlineStr"/>
      <c r="H12" s="16" t="inlineStr"/>
    </row>
    <row r="13">
      <c r="A13" s="15" t="inlineStr"/>
      <c r="B13" s="15" t="inlineStr">
        <is>
          <t>Intro 10</t>
        </is>
      </c>
      <c r="C13" s="15" t="inlineStr"/>
      <c r="D13" s="15" t="inlineStr"/>
      <c r="E13" s="16" t="inlineStr">
        <is>
          <t>Không phát hiện lỗi</t>
        </is>
      </c>
      <c r="F13" s="16" t="inlineStr"/>
      <c r="G13" s="16" t="inlineStr"/>
      <c r="H13" s="16" t="inlineStr"/>
    </row>
    <row r="14">
      <c r="A14" s="15" t="inlineStr"/>
      <c r="B14" s="15" t="inlineStr">
        <is>
          <t>Intro 11</t>
        </is>
      </c>
      <c r="C14" s="15" t="inlineStr"/>
      <c r="D14" s="15" t="inlineStr"/>
      <c r="E14" s="16" t="inlineStr">
        <is>
          <t>Không phát hiện lỗi</t>
        </is>
      </c>
      <c r="F14" s="16" t="inlineStr"/>
      <c r="G14" s="16" t="inlineStr"/>
      <c r="H14" s="16" t="inlineStr"/>
    </row>
    <row r="15">
      <c r="A15" s="5" t="n">
        <v>5</v>
      </c>
      <c r="B15" s="5" t="inlineStr">
        <is>
          <t>Intro 12</t>
        </is>
      </c>
      <c r="C15" s="5" t="inlineStr">
        <is>
          <t>[UI/UX]</t>
        </is>
      </c>
      <c r="D15" s="13" t="inlineStr">
        <is>
          <t>Low</t>
        </is>
      </c>
      <c r="E15" s="14" t="inlineStr">
        <is>
          <t>[UI/UX][Intro 12] Màn Shuffle và Pull không có header (nút Back + logo Starlyn)</t>
        </is>
      </c>
      <c r="F15" s="14" t="inlineStr">
        <is>
          <t>- Intro 12 (id: shuffle_cut) và Intro 13 (id: pull) không hiển thị header (nút Back, logo "✦ Starlyn") trong khi các màn Intro khác đều có; user không có nút quay lại trên 2 màn này.</t>
        </is>
      </c>
      <c r="G15" s="14" t="inlineStr">
        <is>
          <t>- Spec chưa định nghĩa – cần PM/Designer confirm có giữ header/nút Back cho màn ritual hay không.</t>
        </is>
      </c>
      <c r="H15" s="14" t="inlineStr">
        <is>
          <t>Screenshot/Video: screens/12-shuffle_cut-small.png, screens/13-pull-small.png</t>
        </is>
      </c>
    </row>
    <row r="16">
      <c r="A16" s="5" t="n">
        <v>6</v>
      </c>
      <c r="B16" s="5" t="inlineStr">
        <is>
          <t>Intro 13</t>
        </is>
      </c>
      <c r="C16" s="5" t="inlineStr">
        <is>
          <t>[UI][Responsive]</t>
        </is>
      </c>
      <c r="D16" s="17" t="inlineStr">
        <is>
          <t>Medium</t>
        </is>
      </c>
      <c r="E16" s="14" t="inlineStr">
        <is>
          <t>[UI][Responsive][Intro 13] Quạt 22 lá bài sát và bị cắt ở mép trái/phải trên màn small</t>
        </is>
      </c>
      <c r="F16" s="14" t="inlineStr">
        <is>
          <t>- Trên viewport small, lá ngoài cùng bên trái của quạt bài bị cắt tại mép màn hình và lá ngoài cùng bên phải sát mép, không còn lề; trên large quạt nằm gọn trong màn.</t>
        </is>
      </c>
      <c r="G16" s="14" t="inlineStr">
        <is>
          <t>- Quạt bài nằm gọn trong màn hình có lề hai bên như trên viewport large – cần Designer confirm.</t>
        </is>
      </c>
      <c r="H16" s="14" t="inlineStr">
        <is>
          <t>Screenshot/Video: screens/13-pull-small.png, screens/13-pull-large.png</t>
        </is>
      </c>
    </row>
    <row r="17">
      <c r="A17" s="15" t="inlineStr"/>
      <c r="B17" s="15" t="inlineStr">
        <is>
          <t>Intro 14</t>
        </is>
      </c>
      <c r="C17" s="15" t="inlineStr"/>
      <c r="D17" s="15" t="inlineStr"/>
      <c r="E17" s="16" t="inlineStr">
        <is>
          <t>Không phát hiện lỗi</t>
        </is>
      </c>
      <c r="F17" s="16" t="inlineStr"/>
      <c r="G17" s="16" t="inlineStr"/>
      <c r="H17" s="16" t="inlineStr"/>
    </row>
    <row r="18">
      <c r="A18" s="5" t="n">
        <v>7</v>
      </c>
      <c r="B18" s="5" t="inlineStr">
        <is>
          <t>Intro 15</t>
        </is>
      </c>
      <c r="C18" s="5" t="inlineStr">
        <is>
          <t>[UI]</t>
        </is>
      </c>
      <c r="D18" s="13" t="inlineStr">
        <is>
          <t>Low</t>
        </is>
      </c>
      <c r="E18" s="14" t="inlineStr">
        <is>
          <t>[UI][Intro 15] Nội dung push mock khác copy trong spec</t>
        </is>
      </c>
      <c r="F18" s="14" t="inlineStr">
        <is>
          <t>- Lock-screen mock hiển thị push: "Today's card: The Star. Hope returns, quietly."</t>
        </is>
      </c>
      <c r="G18" s="14" t="inlineStr">
        <is>
          <t>- Theo spec: push "Today's card: The Star. Rest and trust."</t>
        </is>
      </c>
      <c r="H18" s="14" t="inlineStr">
        <is>
          <t>Screenshot/Video: screens/15-daily_card-small.png, screens/15-daily_card-large.png</t>
        </is>
      </c>
    </row>
    <row r="19">
      <c r="A19" s="15" t="inlineStr"/>
      <c r="B19" s="15" t="inlineStr">
        <is>
          <t>Intro 16</t>
        </is>
      </c>
      <c r="C19" s="15" t="inlineStr"/>
      <c r="D19" s="15" t="inlineStr"/>
      <c r="E19" s="16" t="inlineStr">
        <is>
          <t>Không phát hiện lỗi</t>
        </is>
      </c>
      <c r="F19" s="16" t="inlineStr"/>
      <c r="G19" s="16" t="inlineStr"/>
      <c r="H19" s="16" t="inlineStr"/>
    </row>
    <row r="20">
      <c r="A20" s="15" t="inlineStr"/>
      <c r="B20" s="15" t="inlineStr">
        <is>
          <t>Intro 17</t>
        </is>
      </c>
      <c r="C20" s="15" t="inlineStr"/>
      <c r="D20" s="15" t="inlineStr"/>
      <c r="E20" s="16" t="inlineStr">
        <is>
          <t>Không phát hiện lỗi</t>
        </is>
      </c>
      <c r="F20" s="16" t="inlineStr"/>
      <c r="G20" s="16" t="inlineStr"/>
      <c r="H20" s="16" t="inlineStr"/>
    </row>
    <row r="21">
      <c r="A21" s="5" t="n">
        <v>8</v>
      </c>
      <c r="B21" s="5" t="inlineStr">
        <is>
          <t>Paywall 1</t>
        </is>
      </c>
      <c r="C21" s="5" t="inlineStr">
        <is>
          <t>[UI/UX]</t>
        </is>
      </c>
      <c r="D21" s="13" t="inlineStr">
        <is>
          <t>Low</t>
        </is>
      </c>
      <c r="E21" s="14" t="inlineStr">
        <is>
          <t>[UI/UX][Paywall 1] Eyebrow "YOUR READING IS READY" lặp nguyên văn headline ngay bên dưới</t>
        </is>
      </c>
      <c r="F21" s="14" t="inlineStr">
        <is>
          <t>- Hero hiển thị eyebrow "YOUR READING IS READY" và ngay dưới là headline "Your reading is ready" – cùng một câu lặp 2 lần liền nhau.</t>
        </is>
      </c>
      <c r="G21" s="14" t="inlineStr">
        <is>
          <t>- Spec chưa định nghĩa eyebrow cho màn này – cần PM/Designer confirm (đổi eyebrow hoặc dùng Headline B "Read what your cards mean").</t>
        </is>
      </c>
      <c r="H21" s="14" t="inlineStr">
        <is>
          <t>Screenshot/Video: screens/18-paywall-small-p1.png, screens/18-paywall-large-p1.png</t>
        </is>
      </c>
    </row>
    <row r="22">
      <c r="A22" s="15" t="inlineStr"/>
      <c r="B22" s="15" t="inlineStr">
        <is>
          <t>Upsale 1</t>
        </is>
      </c>
      <c r="C22" s="15" t="inlineStr"/>
      <c r="D22" s="15" t="inlineStr"/>
      <c r="E22" s="16" t="inlineStr">
        <is>
          <t>Không phát hiện lỗi</t>
        </is>
      </c>
      <c r="F22" s="16" t="inlineStr"/>
      <c r="G22" s="16" t="inlineStr"/>
      <c r="H22" s="16" t="inlineStr"/>
    </row>
    <row r="23">
      <c r="A23" s="5" t="n">
        <v>9</v>
      </c>
      <c r="B23" s="5" t="inlineStr">
        <is>
          <t>Download App</t>
        </is>
      </c>
      <c r="C23" s="5" t="inlineStr">
        <is>
          <t>[UI]</t>
        </is>
      </c>
      <c r="D23" s="17" t="inlineStr">
        <is>
          <t>Medium</t>
        </is>
      </c>
      <c r="E23" s="14" t="inlineStr">
        <is>
          <t>[UI][Download App] Badge App Store / Google Play dùng icon generic, không phải logo chính thức</t>
        </is>
      </c>
      <c r="F23" s="14" t="inlineStr">
        <is>
          <t>- Ở màn Download App, badge "Download on the App Store" hiển thị icon dạng outline giống chiếc răng thay vì logo Apple; badge "Get it on Google Play" chỉ là tam giác outline thay vì logo Google Play.</t>
        </is>
      </c>
      <c r="G23" s="14" t="inlineStr">
        <is>
          <t>- Spec yêu cầu "App Store and Google Play badges" – hiển thị badge chính thức theo brand guideline của Apple/Google; cần Designer confirm asset.</t>
        </is>
      </c>
      <c r="H23" s="14" t="inlineStr">
        <is>
          <t>Screenshot/Video: screens/20-get_app-small.png, screens/20-get_app-large.png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2026-10-06T08:51:22Z</dcterms:created>
  <dcterms:modified xmlns:dcterms="http://purl.org/dc/terms/" xmlns:xsi="http://www.w3.org/2001/XMLSchema-instance" xsi:type="dcterms:W3CDTF">2026-10-06T08:51:22Z</dcterms:modified>
</cp:coreProperties>
</file>