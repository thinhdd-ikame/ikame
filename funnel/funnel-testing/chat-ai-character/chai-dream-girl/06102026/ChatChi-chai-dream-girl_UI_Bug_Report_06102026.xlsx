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ug List" sheetId="2" state="visible" r:id="rId2"/>
  </sheets>
  <definedNames>
    <definedName name="_xlnm._FilterDatabase" localSheetId="1" hidden="1">'Bug List'!$A$1:$H$24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i val="1"/>
      <color rgb="00808080"/>
      <sz val="10"/>
    </font>
    <font>
      <name val="Arial"/>
      <b val="1"/>
      <sz val="14"/>
    </font>
    <font>
      <name val="Arial"/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CBAD"/>
      </patternFill>
    </fill>
    <fill>
      <patternFill patternType="solid">
        <fgColor rgb="00E2EFDA"/>
      </patternFill>
    </fill>
    <fill>
      <patternFill patternType="solid">
        <fgColor rgb="00FFE699"/>
      </patternFill>
    </fill>
    <fill>
      <patternFill patternType="solid">
        <fgColor rgb="00DDEBF7"/>
      </patternFill>
    </fill>
    <fill>
      <patternFill patternType="solid">
        <fgColor rgb="00F4B6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center"/>
    </xf>
    <xf numFmtId="0" fontId="5" fillId="6" borderId="1" applyAlignment="1" pivotButton="0" quotePrefix="0" xfId="0">
      <alignment horizontal="center" vertical="center" wrapText="1"/>
    </xf>
    <xf numFmtId="0" fontId="2" fillId="7" borderId="1" pivotButton="0" quotePrefix="0" xfId="0"/>
    <xf numFmtId="0" fontId="2" fillId="0" borderId="1" pivotButton="0" quotePrefix="0" xfId="0"/>
    <xf numFmtId="0" fontId="2" fillId="3" borderId="1" pivotButton="0" quotePrefix="0" xfId="0"/>
    <xf numFmtId="0" fontId="2" fillId="5" borderId="1" pivotButton="0" quotePrefix="0" xfId="0"/>
    <xf numFmtId="0" fontId="2" fillId="4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Tổng hợp bug</t>
        </is>
      </c>
    </row>
    <row r="2">
      <c r="A2" s="2" t="inlineStr">
        <is>
          <t>Project: ChatChi – chai-dream-girl</t>
        </is>
      </c>
    </row>
    <row r="3">
      <c r="A3" s="2" t="inlineStr">
        <is>
          <t>Tester: Claude Code</t>
        </is>
      </c>
    </row>
    <row r="4">
      <c r="A4" s="2" t="inlineStr">
        <is>
          <t>Ngày export: 06/10/2026</t>
        </is>
      </c>
    </row>
    <row r="6">
      <c r="A6" s="3" t="inlineStr">
        <is>
          <t>Screen</t>
        </is>
      </c>
      <c r="B6" s="3" t="inlineStr">
        <is>
          <t>[UI/UX]</t>
        </is>
      </c>
      <c r="C6" s="3" t="inlineStr">
        <is>
          <t>[UI/UX][Responsive]</t>
        </is>
      </c>
      <c r="D6" s="3" t="inlineStr">
        <is>
          <t>[UI]</t>
        </is>
      </c>
      <c r="E6" s="3" t="inlineStr">
        <is>
          <t>Tổng</t>
        </is>
      </c>
    </row>
    <row r="7">
      <c r="A7" s="4" t="inlineStr">
        <is>
          <t>Intro 1 (hook_ethnicity)</t>
        </is>
      </c>
      <c r="B7" s="5">
        <f>COUNTIFS('Bug List'!$B$2:$B$24,$A7,'Bug List'!$C$2:$C$24,B$6)</f>
        <v/>
      </c>
      <c r="C7" s="5">
        <f>COUNTIFS('Bug List'!$B$2:$B$24,$A7,'Bug List'!$C$2:$C$24,C$6)</f>
        <v/>
      </c>
      <c r="D7" s="5">
        <f>COUNTIFS('Bug List'!$B$2:$B$24,$A7,'Bug List'!$C$2:$C$24,D$6)</f>
        <v/>
      </c>
      <c r="E7" s="5">
        <f>SUM(B7:D7)</f>
        <v/>
      </c>
    </row>
    <row r="8">
      <c r="A8" s="4" t="inlineStr">
        <is>
          <t>Intro 2 (her_age)</t>
        </is>
      </c>
      <c r="B8" s="5">
        <f>COUNTIFS('Bug List'!$B$2:$B$24,$A8,'Bug List'!$C$2:$C$24,B$6)</f>
        <v/>
      </c>
      <c r="C8" s="5">
        <f>COUNTIFS('Bug List'!$B$2:$B$24,$A8,'Bug List'!$C$2:$C$24,C$6)</f>
        <v/>
      </c>
      <c r="D8" s="5">
        <f>COUNTIFS('Bug List'!$B$2:$B$24,$A8,'Bug List'!$C$2:$C$24,D$6)</f>
        <v/>
      </c>
      <c r="E8" s="5">
        <f>SUM(B8:D8)</f>
        <v/>
      </c>
    </row>
    <row r="9">
      <c r="A9" s="4" t="inlineStr">
        <is>
          <t>Intro 3 (figure)</t>
        </is>
      </c>
      <c r="B9" s="5">
        <f>COUNTIFS('Bug List'!$B$2:$B$24,$A9,'Bug List'!$C$2:$C$24,B$6)</f>
        <v/>
      </c>
      <c r="C9" s="5">
        <f>COUNTIFS('Bug List'!$B$2:$B$24,$A9,'Bug List'!$C$2:$C$24,C$6)</f>
        <v/>
      </c>
      <c r="D9" s="5">
        <f>COUNTIFS('Bug List'!$B$2:$B$24,$A9,'Bug List'!$C$2:$C$24,D$6)</f>
        <v/>
      </c>
      <c r="E9" s="5">
        <f>SUM(B9:D9)</f>
        <v/>
      </c>
    </row>
    <row r="10">
      <c r="A10" s="4" t="inlineStr">
        <is>
          <t>Intro 4 (hair_colour)</t>
        </is>
      </c>
      <c r="B10" s="5">
        <f>COUNTIFS('Bug List'!$B$2:$B$24,$A10,'Bug List'!$C$2:$C$24,B$6)</f>
        <v/>
      </c>
      <c r="C10" s="5">
        <f>COUNTIFS('Bug List'!$B$2:$B$24,$A10,'Bug List'!$C$2:$C$24,C$6)</f>
        <v/>
      </c>
      <c r="D10" s="5">
        <f>COUNTIFS('Bug List'!$B$2:$B$24,$A10,'Bug List'!$C$2:$C$24,D$6)</f>
        <v/>
      </c>
      <c r="E10" s="5">
        <f>SUM(B10:D10)</f>
        <v/>
      </c>
    </row>
    <row r="11">
      <c r="A11" s="4" t="inlineStr">
        <is>
          <t>Intro 5 (looks)</t>
        </is>
      </c>
      <c r="B11" s="5">
        <f>COUNTIFS('Bug List'!$B$2:$B$24,$A11,'Bug List'!$C$2:$C$24,B$6)</f>
        <v/>
      </c>
      <c r="C11" s="5">
        <f>COUNTIFS('Bug List'!$B$2:$B$24,$A11,'Bug List'!$C$2:$C$24,C$6)</f>
        <v/>
      </c>
      <c r="D11" s="5">
        <f>COUNTIFS('Bug List'!$B$2:$B$24,$A11,'Bug List'!$C$2:$C$24,D$6)</f>
        <v/>
      </c>
      <c r="E11" s="5">
        <f>SUM(B11:D11)</f>
        <v/>
      </c>
    </row>
    <row r="12">
      <c r="A12" s="4" t="inlineStr">
        <is>
          <t>Intro 6 (bridge)</t>
        </is>
      </c>
      <c r="B12" s="5">
        <f>COUNTIFS('Bug List'!$B$2:$B$24,$A12,'Bug List'!$C$2:$C$24,B$6)</f>
        <v/>
      </c>
      <c r="C12" s="5">
        <f>COUNTIFS('Bug List'!$B$2:$B$24,$A12,'Bug List'!$C$2:$C$24,C$6)</f>
        <v/>
      </c>
      <c r="D12" s="5">
        <f>COUNTIFS('Bug List'!$B$2:$B$24,$A12,'Bug List'!$C$2:$C$24,D$6)</f>
        <v/>
      </c>
      <c r="E12" s="5">
        <f>SUM(B12:D12)</f>
        <v/>
      </c>
    </row>
    <row r="13">
      <c r="A13" s="4" t="inlineStr">
        <is>
          <t>Intro 7 (looking_for)</t>
        </is>
      </c>
      <c r="B13" s="5">
        <f>COUNTIFS('Bug List'!$B$2:$B$24,$A13,'Bug List'!$C$2:$C$24,B$6)</f>
        <v/>
      </c>
      <c r="C13" s="5">
        <f>COUNTIFS('Bug List'!$B$2:$B$24,$A13,'Bug List'!$C$2:$C$24,C$6)</f>
        <v/>
      </c>
      <c r="D13" s="5">
        <f>COUNTIFS('Bug List'!$B$2:$B$24,$A13,'Bug List'!$C$2:$C$24,D$6)</f>
        <v/>
      </c>
      <c r="E13" s="5">
        <f>SUM(B13:D13)</f>
        <v/>
      </c>
    </row>
    <row r="14">
      <c r="A14" s="4" t="inlineStr">
        <is>
          <t>Intro 8 (traits)</t>
        </is>
      </c>
      <c r="B14" s="5">
        <f>COUNTIFS('Bug List'!$B$2:$B$24,$A14,'Bug List'!$C$2:$C$24,B$6)</f>
        <v/>
      </c>
      <c r="C14" s="5">
        <f>COUNTIFS('Bug List'!$B$2:$B$24,$A14,'Bug List'!$C$2:$C$24,C$6)</f>
        <v/>
      </c>
      <c r="D14" s="5">
        <f>COUNTIFS('Bug List'!$B$2:$B$24,$A14,'Bug List'!$C$2:$C$24,D$6)</f>
        <v/>
      </c>
      <c r="E14" s="5">
        <f>SUM(B14:D14)</f>
        <v/>
      </c>
    </row>
    <row r="15">
      <c r="A15" s="4" t="inlineStr">
        <is>
          <t>Intro 9 (together)</t>
        </is>
      </c>
      <c r="B15" s="5">
        <f>COUNTIFS('Bug List'!$B$2:$B$24,$A15,'Bug List'!$C$2:$C$24,B$6)</f>
        <v/>
      </c>
      <c r="C15" s="5">
        <f>COUNTIFS('Bug List'!$B$2:$B$24,$A15,'Bug List'!$C$2:$C$24,C$6)</f>
        <v/>
      </c>
      <c r="D15" s="5">
        <f>COUNTIFS('Bug List'!$B$2:$B$24,$A15,'Bug List'!$C$2:$C$24,D$6)</f>
        <v/>
      </c>
      <c r="E15" s="5">
        <f>SUM(B15:D15)</f>
        <v/>
      </c>
    </row>
    <row r="16">
      <c r="A16" s="4" t="inlineStr">
        <is>
          <t>Intro 10 (scenarios)</t>
        </is>
      </c>
      <c r="B16" s="5">
        <f>COUNTIFS('Bug List'!$B$2:$B$24,$A16,'Bug List'!$C$2:$C$24,B$6)</f>
        <v/>
      </c>
      <c r="C16" s="5">
        <f>COUNTIFS('Bug List'!$B$2:$B$24,$A16,'Bug List'!$C$2:$C$24,C$6)</f>
        <v/>
      </c>
      <c r="D16" s="5">
        <f>COUNTIFS('Bug List'!$B$2:$B$24,$A16,'Bug List'!$C$2:$C$24,D$6)</f>
        <v/>
      </c>
      <c r="E16" s="5">
        <f>SUM(B16:D16)</f>
        <v/>
      </c>
    </row>
    <row r="17">
      <c r="A17" s="4" t="inlineStr">
        <is>
          <t>Intro 11 (loader)</t>
        </is>
      </c>
      <c r="B17" s="5">
        <f>COUNTIFS('Bug List'!$B$2:$B$24,$A17,'Bug List'!$C$2:$C$24,B$6)</f>
        <v/>
      </c>
      <c r="C17" s="5">
        <f>COUNTIFS('Bug List'!$B$2:$B$24,$A17,'Bug List'!$C$2:$C$24,C$6)</f>
        <v/>
      </c>
      <c r="D17" s="5">
        <f>COUNTIFS('Bug List'!$B$2:$B$24,$A17,'Bug List'!$C$2:$C$24,D$6)</f>
        <v/>
      </c>
      <c r="E17" s="5">
        <f>SUM(B17:D17)</f>
        <v/>
      </c>
    </row>
    <row r="18">
      <c r="A18" s="4" t="inlineStr">
        <is>
          <t>Intro 12 (she_texts_first)</t>
        </is>
      </c>
      <c r="B18" s="5">
        <f>COUNTIFS('Bug List'!$B$2:$B$24,$A18,'Bug List'!$C$2:$C$24,B$6)</f>
        <v/>
      </c>
      <c r="C18" s="5">
        <f>COUNTIFS('Bug List'!$B$2:$B$24,$A18,'Bug List'!$C$2:$C$24,C$6)</f>
        <v/>
      </c>
      <c r="D18" s="5">
        <f>COUNTIFS('Bug List'!$B$2:$B$24,$A18,'Bug List'!$C$2:$C$24,D$6)</f>
        <v/>
      </c>
      <c r="E18" s="5">
        <f>SUM(B18:D18)</f>
        <v/>
      </c>
    </row>
    <row r="19">
      <c r="A19" s="4" t="inlineStr">
        <is>
          <t>Intro 13 (email)</t>
        </is>
      </c>
      <c r="B19" s="5">
        <f>COUNTIFS('Bug List'!$B$2:$B$24,$A19,'Bug List'!$C$2:$C$24,B$6)</f>
        <v/>
      </c>
      <c r="C19" s="5">
        <f>COUNTIFS('Bug List'!$B$2:$B$24,$A19,'Bug List'!$C$2:$C$24,C$6)</f>
        <v/>
      </c>
      <c r="D19" s="5">
        <f>COUNTIFS('Bug List'!$B$2:$B$24,$A19,'Bug List'!$C$2:$C$24,D$6)</f>
        <v/>
      </c>
      <c r="E19" s="5">
        <f>SUM(B19:D19)</f>
        <v/>
      </c>
    </row>
    <row r="20">
      <c r="A20" s="4" t="inlineStr">
        <is>
          <t>Paywall 1 (paywall)</t>
        </is>
      </c>
      <c r="B20" s="5">
        <f>COUNTIFS('Bug List'!$B$2:$B$24,$A20,'Bug List'!$C$2:$C$24,B$6)</f>
        <v/>
      </c>
      <c r="C20" s="5">
        <f>COUNTIFS('Bug List'!$B$2:$B$24,$A20,'Bug List'!$C$2:$C$24,C$6)</f>
        <v/>
      </c>
      <c r="D20" s="5">
        <f>COUNTIFS('Bug List'!$B$2:$B$24,$A20,'Bug List'!$C$2:$C$24,D$6)</f>
        <v/>
      </c>
      <c r="E20" s="5">
        <f>SUM(B20:D20)</f>
        <v/>
      </c>
    </row>
    <row r="21">
      <c r="A21" s="4" t="inlineStr">
        <is>
          <t>Paywall 2 (sale) (sale_m1)</t>
        </is>
      </c>
      <c r="B21" s="5">
        <f>COUNTIFS('Bug List'!$B$2:$B$24,$A21,'Bug List'!$C$2:$C$24,B$6)</f>
        <v/>
      </c>
      <c r="C21" s="5">
        <f>COUNTIFS('Bug List'!$B$2:$B$24,$A21,'Bug List'!$C$2:$C$24,C$6)</f>
        <v/>
      </c>
      <c r="D21" s="5">
        <f>COUNTIFS('Bug List'!$B$2:$B$24,$A21,'Bug List'!$C$2:$C$24,D$6)</f>
        <v/>
      </c>
      <c r="E21" s="5">
        <f>SUM(B21:D21)</f>
        <v/>
      </c>
    </row>
    <row r="22">
      <c r="A22" s="4" t="inlineStr">
        <is>
          <t>Paywall 3 (sale) (sale_m3)</t>
        </is>
      </c>
      <c r="B22" s="5">
        <f>COUNTIFS('Bug List'!$B$2:$B$24,$A22,'Bug List'!$C$2:$C$24,B$6)</f>
        <v/>
      </c>
      <c r="C22" s="5">
        <f>COUNTIFS('Bug List'!$B$2:$B$24,$A22,'Bug List'!$C$2:$C$24,C$6)</f>
        <v/>
      </c>
      <c r="D22" s="5">
        <f>COUNTIFS('Bug List'!$B$2:$B$24,$A22,'Bug List'!$C$2:$C$24,D$6)</f>
        <v/>
      </c>
      <c r="E22" s="5">
        <f>SUM(B22:D22)</f>
        <v/>
      </c>
    </row>
    <row r="23">
      <c r="A23" s="4" t="inlineStr">
        <is>
          <t>Paywall 4 (sale) (sale_y12)</t>
        </is>
      </c>
      <c r="B23" s="5">
        <f>COUNTIFS('Bug List'!$B$2:$B$24,$A23,'Bug List'!$C$2:$C$24,B$6)</f>
        <v/>
      </c>
      <c r="C23" s="5">
        <f>COUNTIFS('Bug List'!$B$2:$B$24,$A23,'Bug List'!$C$2:$C$24,C$6)</f>
        <v/>
      </c>
      <c r="D23" s="5">
        <f>COUNTIFS('Bug List'!$B$2:$B$24,$A23,'Bug List'!$C$2:$C$24,D$6)</f>
        <v/>
      </c>
      <c r="E23" s="5">
        <f>SUM(B23:D23)</f>
        <v/>
      </c>
    </row>
    <row r="24">
      <c r="A24" s="4" t="inlineStr">
        <is>
          <t>Paywall 5 (sale) (sale_lifetime)</t>
        </is>
      </c>
      <c r="B24" s="5">
        <f>COUNTIFS('Bug List'!$B$2:$B$24,$A24,'Bug List'!$C$2:$C$24,B$6)</f>
        <v/>
      </c>
      <c r="C24" s="5">
        <f>COUNTIFS('Bug List'!$B$2:$B$24,$A24,'Bug List'!$C$2:$C$24,C$6)</f>
        <v/>
      </c>
      <c r="D24" s="5">
        <f>COUNTIFS('Bug List'!$B$2:$B$24,$A24,'Bug List'!$C$2:$C$24,D$6)</f>
        <v/>
      </c>
      <c r="E24" s="5">
        <f>SUM(B24:D24)</f>
        <v/>
      </c>
    </row>
    <row r="25">
      <c r="A25" s="4" t="inlineStr">
        <is>
          <t>Upsale 1 (upsell_lifetime)</t>
        </is>
      </c>
      <c r="B25" s="5">
        <f>COUNTIFS('Bug List'!$B$2:$B$24,$A25,'Bug List'!$C$2:$C$24,B$6)</f>
        <v/>
      </c>
      <c r="C25" s="5">
        <f>COUNTIFS('Bug List'!$B$2:$B$24,$A25,'Bug List'!$C$2:$C$24,C$6)</f>
        <v/>
      </c>
      <c r="D25" s="5">
        <f>COUNTIFS('Bug List'!$B$2:$B$24,$A25,'Bug List'!$C$2:$C$24,D$6)</f>
        <v/>
      </c>
      <c r="E25" s="5">
        <f>SUM(B25:D25)</f>
        <v/>
      </c>
    </row>
    <row r="26">
      <c r="A26" s="4" t="inlineStr">
        <is>
          <t>Download App (get_app)</t>
        </is>
      </c>
      <c r="B26" s="5">
        <f>COUNTIFS('Bug List'!$B$2:$B$24,$A26,'Bug List'!$C$2:$C$24,B$6)</f>
        <v/>
      </c>
      <c r="C26" s="5">
        <f>COUNTIFS('Bug List'!$B$2:$B$24,$A26,'Bug List'!$C$2:$C$24,C$6)</f>
        <v/>
      </c>
      <c r="D26" s="5">
        <f>COUNTIFS('Bug List'!$B$2:$B$24,$A26,'Bug List'!$C$2:$C$24,D$6)</f>
        <v/>
      </c>
      <c r="E26" s="5">
        <f>SUM(B26:D26)</f>
        <v/>
      </c>
    </row>
    <row r="27">
      <c r="A27" s="4" t="inlineStr">
        <is>
          <t>Paywall 6 (sale, ngoài flow – cần confirm loại màn) (last_chance_offer)</t>
        </is>
      </c>
      <c r="B27" s="5">
        <f>COUNTIFS('Bug List'!$B$2:$B$24,$A27,'Bug List'!$C$2:$C$24,B$6)</f>
        <v/>
      </c>
      <c r="C27" s="5">
        <f>COUNTIFS('Bug List'!$B$2:$B$24,$A27,'Bug List'!$C$2:$C$24,C$6)</f>
        <v/>
      </c>
      <c r="D27" s="5">
        <f>COUNTIFS('Bug List'!$B$2:$B$24,$A27,'Bug List'!$C$2:$C$24,D$6)</f>
        <v/>
      </c>
      <c r="E27" s="5">
        <f>SUM(B27:D27)</f>
        <v/>
      </c>
    </row>
    <row r="28">
      <c r="A28" s="6" t="inlineStr">
        <is>
          <t>Tổng</t>
        </is>
      </c>
      <c r="B28" s="7">
        <f>SUM(B7:B27)</f>
        <v/>
      </c>
      <c r="C28" s="7">
        <f>SUM(C7:C27)</f>
        <v/>
      </c>
      <c r="D28" s="7">
        <f>SUM(D7:D27)</f>
        <v/>
      </c>
      <c r="E28" s="7">
        <f>SUM(E7:E27)</f>
        <v/>
      </c>
    </row>
    <row r="30">
      <c r="A30" s="3" t="inlineStr">
        <is>
          <t>Severity</t>
        </is>
      </c>
      <c r="B30" s="3" t="inlineStr">
        <is>
          <t>Số bug</t>
        </is>
      </c>
    </row>
    <row r="31">
      <c r="A31" s="8" t="inlineStr">
        <is>
          <t>Critical</t>
        </is>
      </c>
      <c r="B31" s="9">
        <f>COUNTIF('Bug List'!$D$2:$D$24,A31)</f>
        <v/>
      </c>
    </row>
    <row r="32">
      <c r="A32" s="10" t="inlineStr">
        <is>
          <t>High</t>
        </is>
      </c>
      <c r="B32" s="9">
        <f>COUNTIF('Bug List'!$D$2:$D$24,A32)</f>
        <v/>
      </c>
    </row>
    <row r="33">
      <c r="A33" s="11" t="inlineStr">
        <is>
          <t>Medium</t>
        </is>
      </c>
      <c r="B33" s="9">
        <f>COUNTIF('Bug List'!$D$2:$D$24,A33)</f>
        <v/>
      </c>
    </row>
    <row r="34">
      <c r="A34" s="12" t="inlineStr">
        <is>
          <t>Low</t>
        </is>
      </c>
      <c r="B34" s="9">
        <f>COUNTIF('Bug List'!$D$2:$D$24,A34)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3" customWidth="1" min="3" max="3"/>
    <col width="10" customWidth="1" min="4" max="4"/>
    <col width="45" customWidth="1" min="5" max="5"/>
    <col width="50" customWidth="1" min="6" max="6"/>
    <col width="50" customWidth="1" min="7" max="7"/>
    <col width="26" customWidth="1" min="8" max="8"/>
  </cols>
  <sheetData>
    <row r="1">
      <c r="A1" s="3" t="inlineStr">
        <is>
          <t>#</t>
        </is>
      </c>
      <c r="B1" s="3" t="inlineStr">
        <is>
          <t>Screen</t>
        </is>
      </c>
      <c r="C1" s="3" t="inlineStr">
        <is>
          <t>Bug Type</t>
        </is>
      </c>
      <c r="D1" s="3" t="inlineStr">
        <is>
          <t>Severity</t>
        </is>
      </c>
      <c r="E1" s="3" t="inlineStr">
        <is>
          <t>Title</t>
        </is>
      </c>
      <c r="F1" s="3" t="inlineStr">
        <is>
          <t>Actual Result</t>
        </is>
      </c>
      <c r="G1" s="3" t="inlineStr">
        <is>
          <t>Expected Result</t>
        </is>
      </c>
      <c r="H1" s="3" t="inlineStr">
        <is>
          <t>Attachment</t>
        </is>
      </c>
    </row>
    <row r="2">
      <c r="A2" s="5" t="n">
        <v>1</v>
      </c>
      <c r="B2" s="5" t="inlineStr">
        <is>
          <t>Intro 1 (hook_ethnicity)</t>
        </is>
      </c>
      <c r="C2" s="5" t="inlineStr">
        <is>
          <t>[UI/UX][Responsive]</t>
        </is>
      </c>
      <c r="D2" s="13" t="inlineStr">
        <is>
          <t>High</t>
        </is>
      </c>
      <c r="E2" s="14" t="inlineStr">
        <is>
          <t>[UI/UX][Responsive][Intro 1] Dòng xác nhận 18+ và link Terms/Privacy nằm dưới fold ở màn nhỏ</t>
        </is>
      </c>
      <c r="F2" s="14" t="inlineStr">
        <is>
          <t>- Ở Intro 1 (hook_ethnicity) trên 375×667, first view chỉ có 4 card ethnicity + "Choose randomly"; dòng "By continuing you confirm you're 18+ and agree to our Terms of Use | Privacy Policy" chỉ hiện sau khi cuộn (p2). Tap một card là auto-advance nên user có thể đi tiếp mà không thấy dòng xác nhận 18+. Trên 430×932 dòng này nằm trong first view.</t>
        </is>
      </c>
      <c r="G2" s="14" t="inlineStr">
        <is>
          <t>- Theo product rule (18+ age gate) và spec #1 (legal line dưới card), dòng xác nhận 18+ cần được user nhìn thấy trước khi tap card; vị trí cụ thể ở màn nhỏ: Spec chưa định nghĩa – cần PM/Designer confirm.</t>
        </is>
      </c>
      <c r="H2" s="14" t="inlineStr">
        <is>
          <t>Screenshot/Video: screens/01-hook_ethnicity-small-p1.png, screens/01-hook_ethnicity-small-p2.png, screens/01-hook_ethnicity-large.png</t>
        </is>
      </c>
    </row>
    <row r="3">
      <c r="A3" s="5" t="n">
        <v>2</v>
      </c>
      <c r="B3" s="5" t="inlineStr">
        <is>
          <t>Intro 1 (hook_ethnicity)</t>
        </is>
      </c>
      <c r="C3" s="5" t="inlineStr">
        <is>
          <t>[UI/UX]</t>
        </is>
      </c>
      <c r="D3" s="13" t="inlineStr">
        <is>
          <t>High</t>
        </is>
      </c>
      <c r="E3" s="14" t="inlineStr">
        <is>
          <t>[UI/UX][Intro 1] Link "Terms of Use" / "Privacy Policy" có tap target quá nhỏ</t>
        </is>
      </c>
      <c r="F3" s="14" t="inlineStr">
        <is>
          <t>- Link "Terms of Use" và "Privacy Policy" chỉ là text inline, vùng bấm đo tự động 73×14 / 76×14 ở Intro 1 (hook_ethnicity), Paywall 2–5 (sale_m1, sale_m3, sale_y12, sale_lifetime), Upsale 1 (upsell_lifetime), Paywall 6 (last_chance_offer) và 76×19 / 79×19 ở footer Paywall 1 (paywall), trên cả small và large.</t>
        </is>
      </c>
      <c r="G3" s="14" t="inlineStr">
        <is>
          <t>- Tap target tối thiểu 44pt theo Apple HIG – cần Designer confirm.</t>
        </is>
      </c>
      <c r="H3" s="14" t="inlineStr">
        <is>
          <t>Screenshot/Video: screens/01-hook_ethnicity-small-p2.png, screens/12-paywall-small-p6.png, screens/15-sale_m1-small-p2.png, screens/19-upsell_lifetime-small-p2.png</t>
        </is>
      </c>
    </row>
    <row r="4">
      <c r="A4" s="5" t="n">
        <v>3</v>
      </c>
      <c r="B4" s="5" t="inlineStr">
        <is>
          <t>Intro 2 (her_age)</t>
        </is>
      </c>
      <c r="C4" s="5" t="inlineStr">
        <is>
          <t>[UI]</t>
        </is>
      </c>
      <c r="D4" s="15" t="inlineStr">
        <is>
          <t>Low</t>
        </is>
      </c>
      <c r="E4" s="14" t="inlineStr">
        <is>
          <t>[UI][Intro 2] Progress bar có 9 segment, spec ghi 10 segment</t>
        </is>
      </c>
      <c r="F4" s="14" t="inlineStr">
        <is>
          <t>- Top bar Intro 2 (her_age) hiển thị progress bar 9 segment (Intro 2 sáng 1/9, Intro 10 scenarios sáng 9/9), trên cả small và large.</t>
        </is>
      </c>
      <c r="G4" s="14" t="inlineStr">
        <is>
          <t>- Spec #2: "Top bar: back chevron, 'Create my AI Girl', 10-segment progress bar". Cần PM/Designer confirm số segment đúng (quiz thực tế có 9 bước).</t>
        </is>
      </c>
      <c r="H4" s="14" t="inlineStr">
        <is>
          <t>Screenshot/Video: screens/02-her_age-small.png, screens/10-scenarios-small-p1.png</t>
        </is>
      </c>
    </row>
    <row r="5">
      <c r="A5" s="5" t="n">
        <v>4</v>
      </c>
      <c r="B5" s="5" t="inlineStr">
        <is>
          <t>Intro 3 (figure)</t>
        </is>
      </c>
      <c r="C5" s="5" t="inlineStr">
        <is>
          <t>[UI]</t>
        </is>
      </c>
      <c r="D5" s="15" t="inlineStr">
        <is>
          <t>Low</t>
        </is>
      </c>
      <c r="E5" s="14" t="inlineStr">
        <is>
          <t>[UI][Intro 3] Ảnh card "Athletic" có một người thứ hai bị cắt ở mép phải</t>
        </is>
      </c>
      <c r="F5" s="14" t="inlineStr">
        <is>
          <t>- Ở Intro 3 (figure), ảnh card "Athletic" có thêm một phần cánh tay/thân người khác bị cắt ở mép phải khung ảnh, cạnh nhân vật chính, thấy rõ trên cả small và large.</t>
        </is>
      </c>
      <c r="G5" s="14" t="inlineStr">
        <is>
          <t>- Spec #3: card full-body một nhân vật, "relaxed standing poses". Cần đối chiếu Designer để thay/crop ảnh.</t>
        </is>
      </c>
      <c r="H5" s="14" t="inlineStr">
        <is>
          <t>Screenshot/Video: screens/03-figure-small.png, screens/03-figure-large.png</t>
        </is>
      </c>
    </row>
    <row r="6">
      <c r="A6" s="16" t="inlineStr"/>
      <c r="B6" s="16" t="inlineStr">
        <is>
          <t>Intro 4 (hair_colour)</t>
        </is>
      </c>
      <c r="C6" s="16" t="inlineStr"/>
      <c r="D6" s="16" t="inlineStr"/>
      <c r="E6" s="17" t="inlineStr">
        <is>
          <t>Không phát hiện lỗi</t>
        </is>
      </c>
      <c r="F6" s="17" t="inlineStr"/>
      <c r="G6" s="17" t="inlineStr"/>
      <c r="H6" s="17" t="inlineStr"/>
    </row>
    <row r="7">
      <c r="A7" s="16" t="inlineStr"/>
      <c r="B7" s="16" t="inlineStr">
        <is>
          <t>Intro 5 (looks)</t>
        </is>
      </c>
      <c r="C7" s="16" t="inlineStr"/>
      <c r="D7" s="16" t="inlineStr"/>
      <c r="E7" s="17" t="inlineStr">
        <is>
          <t>Không phát hiện lỗi</t>
        </is>
      </c>
      <c r="F7" s="17" t="inlineStr"/>
      <c r="G7" s="17" t="inlineStr"/>
      <c r="H7" s="17" t="inlineStr"/>
    </row>
    <row r="8">
      <c r="A8" s="16" t="inlineStr"/>
      <c r="B8" s="16" t="inlineStr">
        <is>
          <t>Intro 6 (bridge)</t>
        </is>
      </c>
      <c r="C8" s="16" t="inlineStr"/>
      <c r="D8" s="16" t="inlineStr"/>
      <c r="E8" s="17" t="inlineStr">
        <is>
          <t>Không phát hiện lỗi</t>
        </is>
      </c>
      <c r="F8" s="17" t="inlineStr"/>
      <c r="G8" s="17" t="inlineStr"/>
      <c r="H8" s="17" t="inlineStr"/>
    </row>
    <row r="9">
      <c r="A9" s="16" t="inlineStr"/>
      <c r="B9" s="16" t="inlineStr">
        <is>
          <t>Intro 7 (looking_for)</t>
        </is>
      </c>
      <c r="C9" s="16" t="inlineStr"/>
      <c r="D9" s="16" t="inlineStr"/>
      <c r="E9" s="17" t="inlineStr">
        <is>
          <t>Không phát hiện lỗi</t>
        </is>
      </c>
      <c r="F9" s="17" t="inlineStr"/>
      <c r="G9" s="17" t="inlineStr"/>
      <c r="H9" s="17" t="inlineStr"/>
    </row>
    <row r="10">
      <c r="A10" s="16" t="inlineStr"/>
      <c r="B10" s="16" t="inlineStr">
        <is>
          <t>Intro 8 (traits)</t>
        </is>
      </c>
      <c r="C10" s="16" t="inlineStr"/>
      <c r="D10" s="16" t="inlineStr"/>
      <c r="E10" s="17" t="inlineStr">
        <is>
          <t>Không phát hiện lỗi</t>
        </is>
      </c>
      <c r="F10" s="17" t="inlineStr"/>
      <c r="G10" s="17" t="inlineStr"/>
      <c r="H10" s="17" t="inlineStr"/>
    </row>
    <row r="11">
      <c r="A11" s="16" t="inlineStr"/>
      <c r="B11" s="16" t="inlineStr">
        <is>
          <t>Intro 9 (together)</t>
        </is>
      </c>
      <c r="C11" s="16" t="inlineStr"/>
      <c r="D11" s="16" t="inlineStr"/>
      <c r="E11" s="17" t="inlineStr">
        <is>
          <t>Không phát hiện lỗi</t>
        </is>
      </c>
      <c r="F11" s="17" t="inlineStr"/>
      <c r="G11" s="17" t="inlineStr"/>
      <c r="H11" s="17" t="inlineStr"/>
    </row>
    <row r="12">
      <c r="A12" s="16" t="inlineStr"/>
      <c r="B12" s="16" t="inlineStr">
        <is>
          <t>Intro 10 (scenarios)</t>
        </is>
      </c>
      <c r="C12" s="16" t="inlineStr"/>
      <c r="D12" s="16" t="inlineStr"/>
      <c r="E12" s="17" t="inlineStr">
        <is>
          <t>Không phát hiện lỗi</t>
        </is>
      </c>
      <c r="F12" s="17" t="inlineStr"/>
      <c r="G12" s="17" t="inlineStr"/>
      <c r="H12" s="17" t="inlineStr"/>
    </row>
    <row r="13">
      <c r="A13" s="16" t="inlineStr"/>
      <c r="B13" s="16" t="inlineStr">
        <is>
          <t>Intro 11 (loader)</t>
        </is>
      </c>
      <c r="C13" s="16" t="inlineStr"/>
      <c r="D13" s="16" t="inlineStr"/>
      <c r="E13" s="17" t="inlineStr">
        <is>
          <t>Không phát hiện lỗi</t>
        </is>
      </c>
      <c r="F13" s="17" t="inlineStr"/>
      <c r="G13" s="17" t="inlineStr"/>
      <c r="H13" s="17" t="inlineStr"/>
    </row>
    <row r="14">
      <c r="A14" s="16" t="inlineStr"/>
      <c r="B14" s="16" t="inlineStr">
        <is>
          <t>Intro 12 (she_texts_first)</t>
        </is>
      </c>
      <c r="C14" s="16" t="inlineStr"/>
      <c r="D14" s="16" t="inlineStr"/>
      <c r="E14" s="17" t="inlineStr">
        <is>
          <t>Không phát hiện lỗi</t>
        </is>
      </c>
      <c r="F14" s="17" t="inlineStr"/>
      <c r="G14" s="17" t="inlineStr"/>
      <c r="H14" s="17" t="inlineStr"/>
    </row>
    <row r="15">
      <c r="A15" s="16" t="inlineStr"/>
      <c r="B15" s="16" t="inlineStr">
        <is>
          <t>Intro 13 (email)</t>
        </is>
      </c>
      <c r="C15" s="16" t="inlineStr"/>
      <c r="D15" s="16" t="inlineStr"/>
      <c r="E15" s="17" t="inlineStr">
        <is>
          <t>Không phát hiện lỗi</t>
        </is>
      </c>
      <c r="F15" s="17" t="inlineStr"/>
      <c r="G15" s="17" t="inlineStr"/>
      <c r="H15" s="17" t="inlineStr"/>
    </row>
    <row r="16">
      <c r="A16" s="5" t="n">
        <v>5</v>
      </c>
      <c r="B16" s="5" t="inlineStr">
        <is>
          <t>Paywall 1 (paywall)</t>
        </is>
      </c>
      <c r="C16" s="5" t="inlineStr">
        <is>
          <t>[UI/UX][Responsive]</t>
        </is>
      </c>
      <c r="D16" s="13" t="inlineStr">
        <is>
          <t>High</t>
        </is>
      </c>
      <c r="E16" s="14" t="inlineStr">
        <is>
          <t>[UI/UX][Responsive][Paywall 1] Màn nhỏ: first view không có giá/CTA và sticky CTA không hiển thị</t>
        </is>
      </c>
      <c r="F16" s="14" t="inlineStr">
        <is>
          <t>- Mở Paywall 1 (paywall) trên 375×667: hero portrait + 4 fact tile + vibe chips chiếm hết first view, không thấy plan, giá hay CTA; thanh sticky bottom "12 months plan · $119.99 today" + "Get my AI girl" không hiện dù plan block chưa xuất hiện trên màn (giống ở walk-end-paywall). Sticky chỉ xuất hiện sau khi cuộn qua plan block 1 (p3). Trên 430×932 plan block 1 lấp ló ở first view.</t>
        </is>
      </c>
      <c r="G16" s="14" t="inlineStr">
        <is>
          <t>- Spec #13 mục 11: sticky bottom CTA "slides up only while neither plan block is on screen" → cần hiển thị ngay ở first view màn nhỏ khi plan block chưa nằm trên màn.</t>
        </is>
      </c>
      <c r="H16" s="14" t="inlineStr">
        <is>
          <t>Screenshot/Video: screens/12-paywall-small-p1.png, screens/walk-end-paywall (paywall).png, screens/12-paywall-small-p3.png, screens/12-paywall-large-p1.png</t>
        </is>
      </c>
    </row>
    <row r="17">
      <c r="A17" s="5" t="n">
        <v>6</v>
      </c>
      <c r="B17" s="5" t="inlineStr">
        <is>
          <t>Paywall 1 (paywall)</t>
        </is>
      </c>
      <c r="C17" s="5" t="inlineStr">
        <is>
          <t>[UI/UX]</t>
        </is>
      </c>
      <c r="D17" s="18" t="inlineStr">
        <is>
          <t>Medium</t>
        </is>
      </c>
      <c r="E17" s="14" t="inlineStr">
        <is>
          <t>[UI/UX][Paywall 1] Portrait của nhân vật không khớp hair colour đã chọn</t>
        </is>
      </c>
      <c r="F17" s="14" t="inlineStr">
        <is>
          <t>- Với data deep-jump chọn hair colour "Brunette", fact tile Paywall 1 (paywall) ghi "Caucasian · Brunette hair" nhưng portrait hero lại là cô gái tóc bạch kim (ảnh card Caucasian ở Intro 1). Cùng portrait này lặp ở Intro 13 (email), Paywall 2–5, Upsale 1 và Paywall 6, nên nhân vật user thấy mâu thuẫn với lựa chọn tóc. Walk chọn Blonde thì khớp.</t>
        </is>
      </c>
      <c r="G17" s="14" t="inlineStr">
        <is>
          <t>- Spec #13 chỉ định portrait theo "his ethnicity pick"; việc portrait mâu thuẫn với hair colour/fact tile: Spec chưa định nghĩa – cần PM/Designer confirm (vd. portrait theo cả ethnicity + hair, hoặc ảnh trung tính).</t>
        </is>
      </c>
      <c r="H17" s="14" t="inlineStr">
        <is>
          <t>Screenshot/Video: screens/12-paywall-small-p1.png, screens/21-email-small.png, screens/15-sale_m1-small-p1.png, screens/walk-end-paywall (paywall).png</t>
        </is>
      </c>
    </row>
    <row r="18">
      <c r="A18" s="5" t="n">
        <v>7</v>
      </c>
      <c r="B18" s="5" t="inlineStr">
        <is>
          <t>Paywall 2 (sale) (sale_m1)</t>
        </is>
      </c>
      <c r="C18" s="5" t="inlineStr">
        <is>
          <t>[UI]</t>
        </is>
      </c>
      <c r="D18" s="15" t="inlineStr">
        <is>
          <t>Low</t>
        </is>
      </c>
      <c r="E18" s="14" t="inlineStr">
        <is>
          <t>[UI][Paywall 2] Top bar màn sale không có nền đặc, nội dung cuộn lộ dưới logo</t>
        </is>
      </c>
      <c r="F18" s="14" t="inlineStr">
        <is>
          <t>- Khi cuộn Paywall 2 (sale_m1) trên màn nhỏ, title "Keep Chloe for less"/eyebrow trôi vào vùng top bar và vẫn lộ một phần dưới hàng logo ChatChi + nút X; Paywall 1 (paywall) có top bar nền đặc + divider. Lặp ở Paywall 3–5 (sale_m3, sale_y12, sale_lifetime), Upsale 1 (upsell_lifetime), Paywall 6 (last_chance_offer).</t>
        </is>
      </c>
      <c r="G18" s="14" t="inlineStr">
        <is>
          <t>- Spec #14: "Same web look as the paywall: top bar with the ChatChi logo and close X" → top bar đồng nhất với Paywall 1. Cần đối chiếu Figma.</t>
        </is>
      </c>
      <c r="H18" s="14" t="inlineStr">
        <is>
          <t>Screenshot/Video: screens/15-sale_m1-small-p2.png, screens/17-sale_y12-small-p2.png, screens/18-sale_lifetime-small-p2.png, screens/19-upsell_lifetime-small-p2.png</t>
        </is>
      </c>
    </row>
    <row r="19">
      <c r="A19" s="16" t="inlineStr"/>
      <c r="B19" s="16" t="inlineStr">
        <is>
          <t>Paywall 3 (sale) (sale_m3)</t>
        </is>
      </c>
      <c r="C19" s="16" t="inlineStr"/>
      <c r="D19" s="16" t="inlineStr"/>
      <c r="E19" s="17" t="inlineStr">
        <is>
          <t>Không phát hiện lỗi</t>
        </is>
      </c>
      <c r="F19" s="17" t="inlineStr"/>
      <c r="G19" s="17" t="inlineStr"/>
      <c r="H19" s="17" t="inlineStr"/>
    </row>
    <row r="20">
      <c r="A20" s="16" t="inlineStr"/>
      <c r="B20" s="16" t="inlineStr">
        <is>
          <t>Paywall 4 (sale) (sale_y12)</t>
        </is>
      </c>
      <c r="C20" s="16" t="inlineStr"/>
      <c r="D20" s="16" t="inlineStr"/>
      <c r="E20" s="17" t="inlineStr">
        <is>
          <t>Không phát hiện lỗi</t>
        </is>
      </c>
      <c r="F20" s="17" t="inlineStr"/>
      <c r="G20" s="17" t="inlineStr"/>
      <c r="H20" s="17" t="inlineStr"/>
    </row>
    <row r="21">
      <c r="A21" s="16" t="inlineStr"/>
      <c r="B21" s="16" t="inlineStr">
        <is>
          <t>Paywall 5 (sale) (sale_lifetime)</t>
        </is>
      </c>
      <c r="C21" s="16" t="inlineStr"/>
      <c r="D21" s="16" t="inlineStr"/>
      <c r="E21" s="17" t="inlineStr">
        <is>
          <t>Không phát hiện lỗi</t>
        </is>
      </c>
      <c r="F21" s="17" t="inlineStr"/>
      <c r="G21" s="17" t="inlineStr"/>
      <c r="H21" s="17" t="inlineStr"/>
    </row>
    <row r="22">
      <c r="A22" s="16" t="inlineStr"/>
      <c r="B22" s="16" t="inlineStr">
        <is>
          <t>Upsale 1 (upsell_lifetime)</t>
        </is>
      </c>
      <c r="C22" s="16" t="inlineStr"/>
      <c r="D22" s="16" t="inlineStr"/>
      <c r="E22" s="17" t="inlineStr">
        <is>
          <t>Không phát hiện lỗi</t>
        </is>
      </c>
      <c r="F22" s="17" t="inlineStr"/>
      <c r="G22" s="17" t="inlineStr"/>
      <c r="H22" s="17" t="inlineStr"/>
    </row>
    <row r="23">
      <c r="A23" s="5" t="n">
        <v>8</v>
      </c>
      <c r="B23" s="5" t="inlineStr">
        <is>
          <t>Download App (get_app)</t>
        </is>
      </c>
      <c r="C23" s="5" t="inlineStr">
        <is>
          <t>[UI]</t>
        </is>
      </c>
      <c r="D23" s="15" t="inlineStr">
        <is>
          <t>Low</t>
        </is>
      </c>
      <c r="E23" s="14" t="inlineStr">
        <is>
          <t>[UI][Download App] Badge App Store / Google Play không dùng artwork chính thức</t>
        </is>
      </c>
      <c r="F23" s="14" t="inlineStr">
        <is>
          <t>- Ở Download App (get_app), badge "Download on the App Store" dùng icon outline không phải logo Apple, badge "Get it on Google Play" dùng icon tam giác outline, trên cả small và large.</t>
        </is>
      </c>
      <c r="G23" s="14" t="inlineStr">
        <is>
          <t>- Spec #21: "App Store and Google Play badges". Badge nên dùng artwork chính thức theo guideline Apple/Google – cần Designer confirm.</t>
        </is>
      </c>
      <c r="H23" s="14" t="inlineStr">
        <is>
          <t>Screenshot/Video: screens/20-get_app-small.png, screens/20-get_app-large.png</t>
        </is>
      </c>
    </row>
    <row r="24">
      <c r="A24" s="5" t="n">
        <v>9</v>
      </c>
      <c r="B24" s="5" t="inlineStr">
        <is>
          <t>Paywall 6 (sale, ngoài flow – cần confirm loại màn) (last_chance_offer)</t>
        </is>
      </c>
      <c r="C24" s="5" t="inlineStr">
        <is>
          <t>[UI]</t>
        </is>
      </c>
      <c r="D24" s="18" t="inlineStr">
        <is>
          <t>Medium</t>
        </is>
      </c>
      <c r="E24" s="14" t="inlineStr">
        <is>
          <t>[UI][Paywall 6] Placeholder {{offer_badge}} / {{offer_price}} / {{offer_renews}} hiển thị thô</t>
        </is>
      </c>
      <c r="F24" s="14" t="inlineStr">
        <is>
          <t>- Màn Paywall 6 (last_chance_offer, id 99) chỉ mở được bằng deep-jump; walk thật từ màn 1 không đi qua màn này. Màn hiển thị nguyên token {{offer_badge}} trên ribbon, {{offer_price}} ở hàng giá (cạnh $24.99 gạch) và {{offer_price}} / {{offer_renews}} trong renewal line, trên cả small và large.</t>
        </is>
      </c>
      <c r="G24" s="14" t="inlineStr">
        <is>
          <t>- Theo product rules, giá/legal placeholder là bug; chuỗi sale chỉ gồm sale_m1 $22.99 / sale_m3 $44.99 / sale_y12 $105.99 rồi sale_lifetime $99.99. Màn này không có trong spec – cần PM confirm gỡ khỏi build hoặc điền giá thật.</t>
        </is>
      </c>
      <c r="H24" s="14" t="inlineStr">
        <is>
          <t>Screenshot/Video: screens/99-last_chance_offer-small-p1.png, screens/99-last_chance_offer-large.png</t>
        </is>
      </c>
    </row>
  </sheetData>
  <autoFilter ref="A1:H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2026-10-06T12:50:32Z</dcterms:created>
  <dcterms:modified xmlns:dcterms="http://purl.org/dc/terms/" xmlns:xsi="http://www.w3.org/2001/XMLSchema-instance" xsi:type="dcterms:W3CDTF">2026-10-06T12:50:32Z</dcterms:modified>
</cp:coreProperties>
</file>