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1" hidden="1">'Bug List'!$A$1:$H$29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2" fillId="0" borderId="1" pivotButton="0" quotePrefix="0" xfId="0"/>
    <xf numFmtId="0" fontId="2" fillId="5" borderId="1" pivotButton="0" quotePrefix="0" xfId="0"/>
    <xf numFmtId="0" fontId="2" fillId="4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Tổng hợp bug</t>
        </is>
      </c>
    </row>
    <row r="2">
      <c r="A2" s="2" t="inlineStr">
        <is>
          <t>Project: ChatChi – chai-ai-girlfriend</t>
        </is>
      </c>
    </row>
    <row r="3">
      <c r="A3" s="2" t="inlineStr">
        <is>
          <t>Tester: Claude Code</t>
        </is>
      </c>
    </row>
    <row r="4">
      <c r="A4" s="2" t="inlineStr">
        <is>
          <t>Ngày export: 07/10/2026</t>
        </is>
      </c>
    </row>
    <row r="6">
      <c r="A6" s="3" t="inlineStr">
        <is>
          <t>Screen</t>
        </is>
      </c>
      <c r="B6" s="3" t="inlineStr">
        <is>
          <t>[UI/UX]</t>
        </is>
      </c>
      <c r="C6" s="3" t="inlineStr">
        <is>
          <t>[UI]</t>
        </is>
      </c>
      <c r="D6" s="3" t="inlineStr">
        <is>
          <t>Tổng</t>
        </is>
      </c>
    </row>
    <row r="7">
      <c r="A7" s="4" t="inlineStr">
        <is>
          <t>Intro 1</t>
        </is>
      </c>
      <c r="B7" s="5">
        <f>COUNTIFS('Bug List'!$B$2:$B$29,$A7,'Bug List'!$C$2:$C$29,B$6)</f>
        <v/>
      </c>
      <c r="C7" s="5">
        <f>COUNTIFS('Bug List'!$B$2:$B$29,$A7,'Bug List'!$C$2:$C$29,C$6)</f>
        <v/>
      </c>
      <c r="D7" s="5">
        <f>SUM(B7:C7)</f>
        <v/>
      </c>
    </row>
    <row r="8">
      <c r="A8" s="4" t="inlineStr">
        <is>
          <t>Intro 2</t>
        </is>
      </c>
      <c r="B8" s="5">
        <f>COUNTIFS('Bug List'!$B$2:$B$29,$A8,'Bug List'!$C$2:$C$29,B$6)</f>
        <v/>
      </c>
      <c r="C8" s="5">
        <f>COUNTIFS('Bug List'!$B$2:$B$29,$A8,'Bug List'!$C$2:$C$29,C$6)</f>
        <v/>
      </c>
      <c r="D8" s="5">
        <f>SUM(B8:C8)</f>
        <v/>
      </c>
    </row>
    <row r="9">
      <c r="A9" s="4" t="inlineStr">
        <is>
          <t>Intro 3</t>
        </is>
      </c>
      <c r="B9" s="5">
        <f>COUNTIFS('Bug List'!$B$2:$B$29,$A9,'Bug List'!$C$2:$C$29,B$6)</f>
        <v/>
      </c>
      <c r="C9" s="5">
        <f>COUNTIFS('Bug List'!$B$2:$B$29,$A9,'Bug List'!$C$2:$C$29,C$6)</f>
        <v/>
      </c>
      <c r="D9" s="5">
        <f>SUM(B9:C9)</f>
        <v/>
      </c>
    </row>
    <row r="10">
      <c r="A10" s="4" t="inlineStr">
        <is>
          <t>Intro 4</t>
        </is>
      </c>
      <c r="B10" s="5">
        <f>COUNTIFS('Bug List'!$B$2:$B$29,$A10,'Bug List'!$C$2:$C$29,B$6)</f>
        <v/>
      </c>
      <c r="C10" s="5">
        <f>COUNTIFS('Bug List'!$B$2:$B$29,$A10,'Bug List'!$C$2:$C$29,C$6)</f>
        <v/>
      </c>
      <c r="D10" s="5">
        <f>SUM(B10:C10)</f>
        <v/>
      </c>
    </row>
    <row r="11">
      <c r="A11" s="4" t="inlineStr">
        <is>
          <t>Intro 5</t>
        </is>
      </c>
      <c r="B11" s="5">
        <f>COUNTIFS('Bug List'!$B$2:$B$29,$A11,'Bug List'!$C$2:$C$29,B$6)</f>
        <v/>
      </c>
      <c r="C11" s="5">
        <f>COUNTIFS('Bug List'!$B$2:$B$29,$A11,'Bug List'!$C$2:$C$29,C$6)</f>
        <v/>
      </c>
      <c r="D11" s="5">
        <f>SUM(B11:C11)</f>
        <v/>
      </c>
    </row>
    <row r="12">
      <c r="A12" s="4" t="inlineStr">
        <is>
          <t>Intro 6</t>
        </is>
      </c>
      <c r="B12" s="5">
        <f>COUNTIFS('Bug List'!$B$2:$B$29,$A12,'Bug List'!$C$2:$C$29,B$6)</f>
        <v/>
      </c>
      <c r="C12" s="5">
        <f>COUNTIFS('Bug List'!$B$2:$B$29,$A12,'Bug List'!$C$2:$C$29,C$6)</f>
        <v/>
      </c>
      <c r="D12" s="5">
        <f>SUM(B12:C12)</f>
        <v/>
      </c>
    </row>
    <row r="13">
      <c r="A13" s="4" t="inlineStr">
        <is>
          <t>Intro 7</t>
        </is>
      </c>
      <c r="B13" s="5">
        <f>COUNTIFS('Bug List'!$B$2:$B$29,$A13,'Bug List'!$C$2:$C$29,B$6)</f>
        <v/>
      </c>
      <c r="C13" s="5">
        <f>COUNTIFS('Bug List'!$B$2:$B$29,$A13,'Bug List'!$C$2:$C$29,C$6)</f>
        <v/>
      </c>
      <c r="D13" s="5">
        <f>SUM(B13:C13)</f>
        <v/>
      </c>
    </row>
    <row r="14">
      <c r="A14" s="4" t="inlineStr">
        <is>
          <t>Intro 8</t>
        </is>
      </c>
      <c r="B14" s="5">
        <f>COUNTIFS('Bug List'!$B$2:$B$29,$A14,'Bug List'!$C$2:$C$29,B$6)</f>
        <v/>
      </c>
      <c r="C14" s="5">
        <f>COUNTIFS('Bug List'!$B$2:$B$29,$A14,'Bug List'!$C$2:$C$29,C$6)</f>
        <v/>
      </c>
      <c r="D14" s="5">
        <f>SUM(B14:C14)</f>
        <v/>
      </c>
    </row>
    <row r="15">
      <c r="A15" s="4" t="inlineStr">
        <is>
          <t>Intro 9</t>
        </is>
      </c>
      <c r="B15" s="5">
        <f>COUNTIFS('Bug List'!$B$2:$B$29,$A15,'Bug List'!$C$2:$C$29,B$6)</f>
        <v/>
      </c>
      <c r="C15" s="5">
        <f>COUNTIFS('Bug List'!$B$2:$B$29,$A15,'Bug List'!$C$2:$C$29,C$6)</f>
        <v/>
      </c>
      <c r="D15" s="5">
        <f>SUM(B15:C15)</f>
        <v/>
      </c>
    </row>
    <row r="16">
      <c r="A16" s="4" t="inlineStr">
        <is>
          <t>Intro 10</t>
        </is>
      </c>
      <c r="B16" s="5">
        <f>COUNTIFS('Bug List'!$B$2:$B$29,$A16,'Bug List'!$C$2:$C$29,B$6)</f>
        <v/>
      </c>
      <c r="C16" s="5">
        <f>COUNTIFS('Bug List'!$B$2:$B$29,$A16,'Bug List'!$C$2:$C$29,C$6)</f>
        <v/>
      </c>
      <c r="D16" s="5">
        <f>SUM(B16:C16)</f>
        <v/>
      </c>
    </row>
    <row r="17">
      <c r="A17" s="4" t="inlineStr">
        <is>
          <t>Intro 11</t>
        </is>
      </c>
      <c r="B17" s="5">
        <f>COUNTIFS('Bug List'!$B$2:$B$29,$A17,'Bug List'!$C$2:$C$29,B$6)</f>
        <v/>
      </c>
      <c r="C17" s="5">
        <f>COUNTIFS('Bug List'!$B$2:$B$29,$A17,'Bug List'!$C$2:$C$29,C$6)</f>
        <v/>
      </c>
      <c r="D17" s="5">
        <f>SUM(B17:C17)</f>
        <v/>
      </c>
    </row>
    <row r="18">
      <c r="A18" s="4" t="inlineStr">
        <is>
          <t>Intro 12</t>
        </is>
      </c>
      <c r="B18" s="5">
        <f>COUNTIFS('Bug List'!$B$2:$B$29,$A18,'Bug List'!$C$2:$C$29,B$6)</f>
        <v/>
      </c>
      <c r="C18" s="5">
        <f>COUNTIFS('Bug List'!$B$2:$B$29,$A18,'Bug List'!$C$2:$C$29,C$6)</f>
        <v/>
      </c>
      <c r="D18" s="5">
        <f>SUM(B18:C18)</f>
        <v/>
      </c>
    </row>
    <row r="19">
      <c r="A19" s="4" t="inlineStr">
        <is>
          <t>Intro 13</t>
        </is>
      </c>
      <c r="B19" s="5">
        <f>COUNTIFS('Bug List'!$B$2:$B$29,$A19,'Bug List'!$C$2:$C$29,B$6)</f>
        <v/>
      </c>
      <c r="C19" s="5">
        <f>COUNTIFS('Bug List'!$B$2:$B$29,$A19,'Bug List'!$C$2:$C$29,C$6)</f>
        <v/>
      </c>
      <c r="D19" s="5">
        <f>SUM(B19:C19)</f>
        <v/>
      </c>
    </row>
    <row r="20">
      <c r="A20" s="4" t="inlineStr">
        <is>
          <t>Intro 14</t>
        </is>
      </c>
      <c r="B20" s="5">
        <f>COUNTIFS('Bug List'!$B$2:$B$29,$A20,'Bug List'!$C$2:$C$29,B$6)</f>
        <v/>
      </c>
      <c r="C20" s="5">
        <f>COUNTIFS('Bug List'!$B$2:$B$29,$A20,'Bug List'!$C$2:$C$29,C$6)</f>
        <v/>
      </c>
      <c r="D20" s="5">
        <f>SUM(B20:C20)</f>
        <v/>
      </c>
    </row>
    <row r="21">
      <c r="A21" s="4" t="inlineStr">
        <is>
          <t>Intro 15</t>
        </is>
      </c>
      <c r="B21" s="5">
        <f>COUNTIFS('Bug List'!$B$2:$B$29,$A21,'Bug List'!$C$2:$C$29,B$6)</f>
        <v/>
      </c>
      <c r="C21" s="5">
        <f>COUNTIFS('Bug List'!$B$2:$B$29,$A21,'Bug List'!$C$2:$C$29,C$6)</f>
        <v/>
      </c>
      <c r="D21" s="5">
        <f>SUM(B21:C21)</f>
        <v/>
      </c>
    </row>
    <row r="22">
      <c r="A22" s="4" t="inlineStr">
        <is>
          <t>Intro 16</t>
        </is>
      </c>
      <c r="B22" s="5">
        <f>COUNTIFS('Bug List'!$B$2:$B$29,$A22,'Bug List'!$C$2:$C$29,B$6)</f>
        <v/>
      </c>
      <c r="C22" s="5">
        <f>COUNTIFS('Bug List'!$B$2:$B$29,$A22,'Bug List'!$C$2:$C$29,C$6)</f>
        <v/>
      </c>
      <c r="D22" s="5">
        <f>SUM(B22:C22)</f>
        <v/>
      </c>
    </row>
    <row r="23">
      <c r="A23" s="4" t="inlineStr">
        <is>
          <t>Intro 17</t>
        </is>
      </c>
      <c r="B23" s="5">
        <f>COUNTIFS('Bug List'!$B$2:$B$29,$A23,'Bug List'!$C$2:$C$29,B$6)</f>
        <v/>
      </c>
      <c r="C23" s="5">
        <f>COUNTIFS('Bug List'!$B$2:$B$29,$A23,'Bug List'!$C$2:$C$29,C$6)</f>
        <v/>
      </c>
      <c r="D23" s="5">
        <f>SUM(B23:C23)</f>
        <v/>
      </c>
    </row>
    <row r="24">
      <c r="A24" s="4" t="inlineStr">
        <is>
          <t>Paywall 1</t>
        </is>
      </c>
      <c r="B24" s="5">
        <f>COUNTIFS('Bug List'!$B$2:$B$29,$A24,'Bug List'!$C$2:$C$29,B$6)</f>
        <v/>
      </c>
      <c r="C24" s="5">
        <f>COUNTIFS('Bug List'!$B$2:$B$29,$A24,'Bug List'!$C$2:$C$29,C$6)</f>
        <v/>
      </c>
      <c r="D24" s="5">
        <f>SUM(B24:C24)</f>
        <v/>
      </c>
    </row>
    <row r="25">
      <c r="A25" s="4" t="inlineStr">
        <is>
          <t>Paywall 2 (sale)</t>
        </is>
      </c>
      <c r="B25" s="5">
        <f>COUNTIFS('Bug List'!$B$2:$B$29,$A25,'Bug List'!$C$2:$C$29,B$6)</f>
        <v/>
      </c>
      <c r="C25" s="5">
        <f>COUNTIFS('Bug List'!$B$2:$B$29,$A25,'Bug List'!$C$2:$C$29,C$6)</f>
        <v/>
      </c>
      <c r="D25" s="5">
        <f>SUM(B25:C25)</f>
        <v/>
      </c>
    </row>
    <row r="26">
      <c r="A26" s="4" t="inlineStr">
        <is>
          <t>Paywall 3 (sale)</t>
        </is>
      </c>
      <c r="B26" s="5">
        <f>COUNTIFS('Bug List'!$B$2:$B$29,$A26,'Bug List'!$C$2:$C$29,B$6)</f>
        <v/>
      </c>
      <c r="C26" s="5">
        <f>COUNTIFS('Bug List'!$B$2:$B$29,$A26,'Bug List'!$C$2:$C$29,C$6)</f>
        <v/>
      </c>
      <c r="D26" s="5">
        <f>SUM(B26:C26)</f>
        <v/>
      </c>
    </row>
    <row r="27">
      <c r="A27" s="4" t="inlineStr">
        <is>
          <t>Paywall 4 (sale)</t>
        </is>
      </c>
      <c r="B27" s="5">
        <f>COUNTIFS('Bug List'!$B$2:$B$29,$A27,'Bug List'!$C$2:$C$29,B$6)</f>
        <v/>
      </c>
      <c r="C27" s="5">
        <f>COUNTIFS('Bug List'!$B$2:$B$29,$A27,'Bug List'!$C$2:$C$29,C$6)</f>
        <v/>
      </c>
      <c r="D27" s="5">
        <f>SUM(B27:C27)</f>
        <v/>
      </c>
    </row>
    <row r="28">
      <c r="A28" s="4" t="inlineStr">
        <is>
          <t>Paywall 5 (sale)</t>
        </is>
      </c>
      <c r="B28" s="5">
        <f>COUNTIFS('Bug List'!$B$2:$B$29,$A28,'Bug List'!$C$2:$C$29,B$6)</f>
        <v/>
      </c>
      <c r="C28" s="5">
        <f>COUNTIFS('Bug List'!$B$2:$B$29,$A28,'Bug List'!$C$2:$C$29,C$6)</f>
        <v/>
      </c>
      <c r="D28" s="5">
        <f>SUM(B28:C28)</f>
        <v/>
      </c>
    </row>
    <row r="29">
      <c r="A29" s="4" t="inlineStr">
        <is>
          <t>Paywall 6 (legacy)</t>
        </is>
      </c>
      <c r="B29" s="5">
        <f>COUNTIFS('Bug List'!$B$2:$B$29,$A29,'Bug List'!$C$2:$C$29,B$6)</f>
        <v/>
      </c>
      <c r="C29" s="5">
        <f>COUNTIFS('Bug List'!$B$2:$B$29,$A29,'Bug List'!$C$2:$C$29,C$6)</f>
        <v/>
      </c>
      <c r="D29" s="5">
        <f>SUM(B29:C29)</f>
        <v/>
      </c>
    </row>
    <row r="30">
      <c r="A30" s="4" t="inlineStr">
        <is>
          <t>Upsale 1</t>
        </is>
      </c>
      <c r="B30" s="5">
        <f>COUNTIFS('Bug List'!$B$2:$B$29,$A30,'Bug List'!$C$2:$C$29,B$6)</f>
        <v/>
      </c>
      <c r="C30" s="5">
        <f>COUNTIFS('Bug List'!$B$2:$B$29,$A30,'Bug List'!$C$2:$C$29,C$6)</f>
        <v/>
      </c>
      <c r="D30" s="5">
        <f>SUM(B30:C30)</f>
        <v/>
      </c>
    </row>
    <row r="31">
      <c r="A31" s="4" t="inlineStr">
        <is>
          <t>Download App</t>
        </is>
      </c>
      <c r="B31" s="5">
        <f>COUNTIFS('Bug List'!$B$2:$B$29,$A31,'Bug List'!$C$2:$C$29,B$6)</f>
        <v/>
      </c>
      <c r="C31" s="5">
        <f>COUNTIFS('Bug List'!$B$2:$B$29,$A31,'Bug List'!$C$2:$C$29,C$6)</f>
        <v/>
      </c>
      <c r="D31" s="5">
        <f>SUM(B31:C31)</f>
        <v/>
      </c>
    </row>
    <row r="32">
      <c r="A32" s="6" t="inlineStr">
        <is>
          <t>Tổng</t>
        </is>
      </c>
      <c r="B32" s="7">
        <f>SUM(B7:B31)</f>
        <v/>
      </c>
      <c r="C32" s="7">
        <f>SUM(C7:C31)</f>
        <v/>
      </c>
      <c r="D32" s="7">
        <f>SUM(D7:D31)</f>
        <v/>
      </c>
    </row>
    <row r="34">
      <c r="A34" s="3" t="inlineStr">
        <is>
          <t>Severity</t>
        </is>
      </c>
      <c r="B34" s="3" t="inlineStr">
        <is>
          <t>Số bug</t>
        </is>
      </c>
    </row>
    <row r="35">
      <c r="A35" s="8" t="inlineStr">
        <is>
          <t>Critical</t>
        </is>
      </c>
      <c r="B35" s="9">
        <f>COUNTIF('Bug List'!$D$2:$D$29,A35)</f>
        <v/>
      </c>
    </row>
    <row r="36">
      <c r="A36" s="10" t="inlineStr">
        <is>
          <t>High</t>
        </is>
      </c>
      <c r="B36" s="9">
        <f>COUNTIF('Bug List'!$D$2:$D$29,A36)</f>
        <v/>
      </c>
    </row>
    <row r="37">
      <c r="A37" s="11" t="inlineStr">
        <is>
          <t>Medium</t>
        </is>
      </c>
      <c r="B37" s="9">
        <f>COUNTIF('Bug List'!$D$2:$D$29,A37)</f>
        <v/>
      </c>
    </row>
    <row r="38">
      <c r="A38" s="12" t="inlineStr">
        <is>
          <t>Low</t>
        </is>
      </c>
      <c r="B38" s="9">
        <f>COUNTIF('Bug List'!$D$2:$D$29,A38)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0" customWidth="1" min="4" max="4"/>
    <col width="45" customWidth="1" min="5" max="5"/>
    <col width="50" customWidth="1" min="6" max="6"/>
    <col width="50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Screen</t>
        </is>
      </c>
      <c r="C1" s="3" t="inlineStr">
        <is>
          <t>Bug Type</t>
        </is>
      </c>
      <c r="D1" s="3" t="inlineStr">
        <is>
          <t>Severity</t>
        </is>
      </c>
      <c r="E1" s="3" t="inlineStr">
        <is>
          <t>Title</t>
        </is>
      </c>
      <c r="F1" s="3" t="inlineStr">
        <is>
          <t>Actual Result</t>
        </is>
      </c>
      <c r="G1" s="3" t="inlineStr">
        <is>
          <t>Expected Result</t>
        </is>
      </c>
      <c r="H1" s="3" t="inlineStr">
        <is>
          <t>Attachment</t>
        </is>
      </c>
    </row>
    <row r="2">
      <c r="A2" s="5" t="n">
        <v>1</v>
      </c>
      <c r="B2" s="5" t="inlineStr">
        <is>
          <t>Intro 1</t>
        </is>
      </c>
      <c r="C2" s="5" t="inlineStr">
        <is>
          <t>[UI]</t>
        </is>
      </c>
      <c r="D2" s="13" t="inlineStr">
        <is>
          <t>Low</t>
        </is>
      </c>
      <c r="E2" s="14" t="inlineStr">
        <is>
          <t>[UI][Intro 1] Year wheel bị cắt mép dưới bởi vùng CTA ở first view màn nhỏ</t>
        </is>
      </c>
      <c r="F2" s="14" t="inlineStr">
        <is>
          <t>- Màn 375×667, first view (hook_age_check): box year wheel chỉ hiện 2 dòng (2004, 2005), mép dưới box bị cắt ngang bởi vùng button "I'm 18+ · Start", không có fade; phải cuộn mới thấy đủ 3 dòng. Màn 430×932 hiển thị đủ.</t>
        </is>
      </c>
      <c r="G2" s="14" t="inlineStr">
        <is>
          <t>- Spec: "Year wheel in a rounded surface box below, pink CTA pinned at the bottom" – box wheel cần hiển thị trọn vẹn ở first view hoặc có cue cuộn rõ ràng; cách xử lý cụ thể cần Designer confirm (Cần đối chiếu Figma).</t>
        </is>
      </c>
      <c r="H2" s="14" t="inlineStr">
        <is>
          <t>Screenshot/Video: 01-hook_age_check-small-p1.png, 01-hook_age_check-small-p2.png, 01-hook_age_check-large.png</t>
        </is>
      </c>
    </row>
    <row r="3">
      <c r="A3" s="5" t="n">
        <v>2</v>
      </c>
      <c r="B3" s="5" t="inlineStr">
        <is>
          <t>Intro 2</t>
        </is>
      </c>
      <c r="C3" s="5" t="inlineStr">
        <is>
          <t>[UI]</t>
        </is>
      </c>
      <c r="D3" s="15" t="inlineStr">
        <is>
          <t>Medium</t>
        </is>
      </c>
      <c r="E3" s="14" t="inlineStr">
        <is>
          <t>[UI][Intro 2] Text "Tap a hair colour" bị nét vẽ placeholder đè lên trong preview card</t>
        </is>
      </c>
      <c r="F3" s="14" t="inlineStr">
        <is>
          <t>- Trước khi chọn màu tóc (hair_colour), preview card hiển thị hình sketch placeholder với dấu "?" hồng; text "Tap a hair colour" nằm đè lên các nét vẽ (cổ, tóc) nên bị gạch ngang, khó đọc. Lỗi giống nhau ở cả 375×667 và 430×932.</t>
        </is>
      </c>
      <c r="G3" s="14" t="inlineStr">
        <is>
          <t>- Text hướng dẫn cần đọc rõ, không bị nét vẽ đè (spec: preview card là hero object của funnel). Cách hiển thị placeholder: Spec chưa định nghĩa – cần PM/Designer confirm.</t>
        </is>
      </c>
      <c r="H3" s="14" t="inlineStr">
        <is>
          <t>Screenshot/Video: 02-hair_colour-small.png, 02-hair_colour-large.png</t>
        </is>
      </c>
    </row>
    <row r="4">
      <c r="A4" s="5" t="n">
        <v>3</v>
      </c>
      <c r="B4" s="5" t="inlineStr">
        <is>
          <t>Intro 3</t>
        </is>
      </c>
      <c r="C4" s="5" t="inlineStr">
        <is>
          <t>[UI]</t>
        </is>
      </c>
      <c r="D4" s="13" t="inlineStr">
        <is>
          <t>Low</t>
        </is>
      </c>
      <c r="E4" s="14" t="inlineStr">
        <is>
          <t>[UI][Intro 3] Option tuổi hiển thị dạng grid 2×2 thay vì stacked pills theo spec</t>
        </is>
      </c>
      <c r="F4" s="14" t="inlineStr">
        <is>
          <t>- Màn her_age hiển thị 4 option (21-24, 25-29, 30-35, 36+) dạng grid 2 cột × 2 hàng ở cả 2 viewport.</t>
        </is>
      </c>
      <c r="G4" s="14" t="inlineStr">
        <is>
          <t>- Spec #3 Visual: "Four stacked pills". Cần PM/Designer confirm giữ grid hay đổi sang stacked (Cần đối chiếu Figma).</t>
        </is>
      </c>
      <c r="H4" s="14" t="inlineStr">
        <is>
          <t>Screenshot/Video: 03-her_age-small.png, 03-her_age-large.png</t>
        </is>
      </c>
    </row>
    <row r="5">
      <c r="A5" s="16" t="inlineStr"/>
      <c r="B5" s="16" t="inlineStr">
        <is>
          <t>Intro 4</t>
        </is>
      </c>
      <c r="C5" s="16" t="inlineStr"/>
      <c r="D5" s="16" t="inlineStr"/>
      <c r="E5" s="17" t="inlineStr">
        <is>
          <t>Không phát hiện lỗi</t>
        </is>
      </c>
      <c r="F5" s="17" t="inlineStr"/>
      <c r="G5" s="17" t="inlineStr"/>
      <c r="H5" s="17" t="inlineStr"/>
    </row>
    <row r="6">
      <c r="A6" s="16" t="inlineStr"/>
      <c r="B6" s="16" t="inlineStr">
        <is>
          <t>Intro 5</t>
        </is>
      </c>
      <c r="C6" s="16" t="inlineStr"/>
      <c r="D6" s="16" t="inlineStr"/>
      <c r="E6" s="17" t="inlineStr">
        <is>
          <t>Không phát hiện lỗi</t>
        </is>
      </c>
      <c r="F6" s="17" t="inlineStr"/>
      <c r="G6" s="17" t="inlineStr"/>
      <c r="H6" s="17" t="inlineStr"/>
    </row>
    <row r="7">
      <c r="A7" s="16" t="inlineStr"/>
      <c r="B7" s="16" t="inlineStr">
        <is>
          <t>Intro 6</t>
        </is>
      </c>
      <c r="C7" s="16" t="inlineStr"/>
      <c r="D7" s="16" t="inlineStr"/>
      <c r="E7" s="17" t="inlineStr">
        <is>
          <t>Không phát hiện lỗi</t>
        </is>
      </c>
      <c r="F7" s="17" t="inlineStr"/>
      <c r="G7" s="17" t="inlineStr"/>
      <c r="H7" s="17" t="inlineStr"/>
    </row>
    <row r="8">
      <c r="A8" s="16" t="inlineStr"/>
      <c r="B8" s="16" t="inlineStr">
        <is>
          <t>Intro 7</t>
        </is>
      </c>
      <c r="C8" s="16" t="inlineStr"/>
      <c r="D8" s="16" t="inlineStr"/>
      <c r="E8" s="17" t="inlineStr">
        <is>
          <t>Không phát hiện lỗi</t>
        </is>
      </c>
      <c r="F8" s="17" t="inlineStr"/>
      <c r="G8" s="17" t="inlineStr"/>
      <c r="H8" s="17" t="inlineStr"/>
    </row>
    <row r="9">
      <c r="A9" s="16" t="inlineStr"/>
      <c r="B9" s="16" t="inlineStr">
        <is>
          <t>Intro 8</t>
        </is>
      </c>
      <c r="C9" s="16" t="inlineStr"/>
      <c r="D9" s="16" t="inlineStr"/>
      <c r="E9" s="17" t="inlineStr">
        <is>
          <t>Không phát hiện lỗi</t>
        </is>
      </c>
      <c r="F9" s="17" t="inlineStr"/>
      <c r="G9" s="17" t="inlineStr"/>
      <c r="H9" s="17" t="inlineStr"/>
    </row>
    <row r="10">
      <c r="A10" s="5" t="n">
        <v>4</v>
      </c>
      <c r="B10" s="5" t="inlineStr">
        <is>
          <t>Intro 9</t>
        </is>
      </c>
      <c r="C10" s="5" t="inlineStr">
        <is>
          <t>[UI]</t>
        </is>
      </c>
      <c r="D10" s="15" t="inlineStr">
        <is>
          <t>Medium</t>
        </is>
      </c>
      <c r="E10" s="14" t="inlineStr">
        <is>
          <t>[UI][Intro 9] Chip thông tin phủ kín portrait trong preview card nhỏ</t>
        </is>
      </c>
      <c r="F10" s="14" t="inlineStr">
        <is>
          <t>- Ở names, preview card thu nhỏ: 5 chip (Cozy, Long waves, Green, 25-29, Freckles) xếp dọc phủ gần hết ảnh portrait, che mặt nhân vật; ảnh gần như không nhìn thấy. Lặp lại ở cả 375×667 và 430×932.</t>
        </is>
      </c>
      <c r="G10" s="14" t="inlineStr">
        <is>
          <t>- Portrait cần nhìn thấy được trong preview card (spec #9: "Preview card small at top"); bố cục chip khi card thu nhỏ: Spec chưa định nghĩa – cần PM/Designer confirm.</t>
        </is>
      </c>
      <c r="H10" s="14" t="inlineStr">
        <is>
          <t>Screenshot/Video: 09-names-small.png, 09-names-large.png</t>
        </is>
      </c>
    </row>
    <row r="11">
      <c r="A11" s="5" t="n">
        <v>5</v>
      </c>
      <c r="B11" s="5" t="inlineStr">
        <is>
          <t>Intro 9</t>
        </is>
      </c>
      <c r="C11" s="5" t="inlineStr">
        <is>
          <t>[UI]</t>
        </is>
      </c>
      <c r="D11" s="13" t="inlineStr">
        <is>
          <t>Low</t>
        </is>
      </c>
      <c r="E11" s="14" t="inlineStr">
        <is>
          <t>[UI][Intro 9] Field "Her name" để trống trong khi preview card đã hiện tên "Ivy"</t>
        </is>
      </c>
      <c r="F11" s="14" t="inlineStr">
        <is>
          <t>- Mở names: field "Her name" chỉ hiện placeholder "Her name" (trống) nhưng tiêu đề preview card đã hiển thị "Ivy"; 2 vị trí không khớp. (Cần verify trên luồng đi thật – ảnh chụp bằng deep-jump.)</t>
        </is>
      </c>
      <c r="G11" s="14" t="inlineStr">
        <is>
          <t>- Spec #9: "Her name" prefilled with a suggestion from her hair colour (e.g. Chloe for blonde) with a shuffle button – field cần hiển thị sẵn tên gợi ý trùng với tên trên preview card.</t>
        </is>
      </c>
      <c r="H11" s="14" t="inlineStr">
        <is>
          <t>Screenshot/Video: 09-names-small.png, 09-names-large.png</t>
        </is>
      </c>
    </row>
    <row r="12">
      <c r="A12" s="5" t="n">
        <v>6</v>
      </c>
      <c r="B12" s="5" t="inlineStr">
        <is>
          <t>Intro 10</t>
        </is>
      </c>
      <c r="C12" s="5" t="inlineStr">
        <is>
          <t>[UI]</t>
        </is>
      </c>
      <c r="D12" s="13" t="inlineStr">
        <is>
          <t>Low</t>
        </is>
      </c>
      <c r="E12" s="14" t="inlineStr">
        <is>
          <t>[UI][Intro 10] Avatar preview nằm bên trái thay vì top-right theo spec</t>
        </is>
      </c>
      <c r="F12" s="14" t="inlineStr">
        <is>
          <t>- Màn looking_for hiển thị avatar tròn + "Ivy · Cozy" ở góc trên bên trái, phía trên headline.</t>
        </is>
      </c>
      <c r="G12" s="14" t="inlineStr">
        <is>
          <t>- Spec #10 Visual: "Stacked pills, small preview avatar top-right". Cần PM/Designer confirm vị trí (Cần đối chiếu Figma).</t>
        </is>
      </c>
      <c r="H12" s="14" t="inlineStr">
        <is>
          <t>Screenshot/Video: 10-looking_for-small-p1.png, 10-looking_for-large.png</t>
        </is>
      </c>
    </row>
    <row r="13">
      <c r="A13" s="5" t="n">
        <v>7</v>
      </c>
      <c r="B13" s="5" t="inlineStr">
        <is>
          <t>Intro 11</t>
        </is>
      </c>
      <c r="C13" s="5" t="inlineStr">
        <is>
          <t>[UI]</t>
        </is>
      </c>
      <c r="D13" s="15" t="inlineStr">
        <is>
          <t>Medium</t>
        </is>
      </c>
      <c r="E13" s="14" t="inlineStr">
        <is>
          <t>[UI][Intro 11] Chip "Cozy" bị chip "Long waves" đè và cắt chữ trên preview card</t>
        </is>
      </c>
      <c r="F13" s="14" t="inlineStr">
        <is>
          <t>- Ở personality, preview card nhỏ: chip hồng "Cozy" bị chip "Long waves" đè lên, chỉ còn thấy viền hồng và một phần chữ; các chip còn lại phủ kín portrait. Lặp lại ở cả 375×667 và 430×932.</t>
        </is>
      </c>
      <c r="G13" s="14" t="inlineStr">
        <is>
          <t>- Các chip không được chồng lên nhau, chữ đọc trọn vẹn; portrait cần nhìn thấy (spec #11: preview card small at top với trait line). Bố cục chip khi card nhỏ: Spec chưa định nghĩa – cần PM/Designer confirm.</t>
        </is>
      </c>
      <c r="H13" s="14" t="inlineStr">
        <is>
          <t>Screenshot/Video: 11-personality-small-p1.png, 11-personality-large.png</t>
        </is>
      </c>
    </row>
    <row r="14">
      <c r="A14" s="16" t="inlineStr"/>
      <c r="B14" s="16" t="inlineStr">
        <is>
          <t>Intro 12</t>
        </is>
      </c>
      <c r="C14" s="16" t="inlineStr"/>
      <c r="D14" s="16" t="inlineStr"/>
      <c r="E14" s="17" t="inlineStr">
        <is>
          <t>Không phát hiện lỗi</t>
        </is>
      </c>
      <c r="F14" s="17" t="inlineStr"/>
      <c r="G14" s="17" t="inlineStr"/>
      <c r="H14" s="17" t="inlineStr"/>
    </row>
    <row r="15">
      <c r="A15" s="16" t="inlineStr"/>
      <c r="B15" s="16" t="inlineStr">
        <is>
          <t>Intro 13</t>
        </is>
      </c>
      <c r="C15" s="16" t="inlineStr"/>
      <c r="D15" s="16" t="inlineStr"/>
      <c r="E15" s="17" t="inlineStr">
        <is>
          <t>Không phát hiện lỗi</t>
        </is>
      </c>
      <c r="F15" s="17" t="inlineStr"/>
      <c r="G15" s="17" t="inlineStr"/>
      <c r="H15" s="17" t="inlineStr"/>
    </row>
    <row r="16">
      <c r="A16" s="16" t="inlineStr"/>
      <c r="B16" s="16" t="inlineStr">
        <is>
          <t>Intro 14</t>
        </is>
      </c>
      <c r="C16" s="16" t="inlineStr"/>
      <c r="D16" s="16" t="inlineStr"/>
      <c r="E16" s="17" t="inlineStr">
        <is>
          <t>Không phát hiện lỗi</t>
        </is>
      </c>
      <c r="F16" s="17" t="inlineStr"/>
      <c r="G16" s="17" t="inlineStr"/>
      <c r="H16" s="17" t="inlineStr"/>
    </row>
    <row r="17">
      <c r="A17" s="16" t="inlineStr"/>
      <c r="B17" s="16" t="inlineStr">
        <is>
          <t>Intro 15</t>
        </is>
      </c>
      <c r="C17" s="16" t="inlineStr"/>
      <c r="D17" s="16" t="inlineStr"/>
      <c r="E17" s="17" t="inlineStr">
        <is>
          <t>Không phát hiện lỗi</t>
        </is>
      </c>
      <c r="F17" s="17" t="inlineStr"/>
      <c r="G17" s="17" t="inlineStr"/>
      <c r="H17" s="17" t="inlineStr"/>
    </row>
    <row r="18">
      <c r="A18" s="16" t="inlineStr"/>
      <c r="B18" s="16" t="inlineStr">
        <is>
          <t>Intro 16</t>
        </is>
      </c>
      <c r="C18" s="16" t="inlineStr"/>
      <c r="D18" s="16" t="inlineStr"/>
      <c r="E18" s="17" t="inlineStr">
        <is>
          <t>Không phát hiện lỗi</t>
        </is>
      </c>
      <c r="F18" s="17" t="inlineStr"/>
      <c r="G18" s="17" t="inlineStr"/>
      <c r="H18" s="17" t="inlineStr"/>
    </row>
    <row r="19">
      <c r="A19" s="16" t="inlineStr"/>
      <c r="B19" s="16" t="inlineStr">
        <is>
          <t>Intro 17</t>
        </is>
      </c>
      <c r="C19" s="16" t="inlineStr"/>
      <c r="D19" s="16" t="inlineStr"/>
      <c r="E19" s="17" t="inlineStr">
        <is>
          <t>Không phát hiện lỗi</t>
        </is>
      </c>
      <c r="F19" s="17" t="inlineStr"/>
      <c r="G19" s="17" t="inlineStr"/>
      <c r="H19" s="17" t="inlineStr"/>
    </row>
    <row r="20">
      <c r="A20" s="5" t="n">
        <v>8</v>
      </c>
      <c r="B20" s="5" t="inlineStr">
        <is>
          <t>Paywall 1</t>
        </is>
      </c>
      <c r="C20" s="5" t="inlineStr">
        <is>
          <t>[UI/UX]</t>
        </is>
      </c>
      <c r="D20" s="18" t="inlineStr">
        <is>
          <t>High</t>
        </is>
      </c>
      <c r="E20" s="14" t="inlineStr">
        <is>
          <t>[UI/UX][Paywall 1] First view màn lớn không thấy CTA và gói 12 months được chọn sẵn</t>
        </is>
      </c>
      <c r="F20" s="14" t="inlineStr">
        <is>
          <t>- Màn 430×932, first view paywall: thấy hero, chip và 2 card 1 month/3 months; card 12 months (pre-selected, "Best value") chỉ lộ badge ở mép dưới, không có button Continue nào trong khung hình và sticky bottom bar không hiện (vì plan block đang trên màn). Màn 375×667 thì có sticky bar "$119.99 today" + Continue ngay first view.</t>
        </is>
      </c>
      <c r="G20" s="14" t="inlineStr">
        <is>
          <t>- CTA (và gói đang chọn) cần thấy được ngay first view ở mọi kích thước theo chuẩn team. Spec #18 chỉ định nghĩa sticky bar ẩn khi plan block hiển thị, chưa định nghĩa trường hợp plan block chỉ lộ một phần – cần PM/Designer confirm cách xử lý.</t>
        </is>
      </c>
      <c r="H20" s="14" t="inlineStr">
        <is>
          <t>Screenshot/Video: 18-paywall-large-p1.png, 18-paywall-small-p1.png</t>
        </is>
      </c>
    </row>
    <row r="21">
      <c r="A21" s="5" t="n">
        <v>9</v>
      </c>
      <c r="B21" s="5" t="inlineStr">
        <is>
          <t>Paywall 1</t>
        </is>
      </c>
      <c r="C21" s="5" t="inlineStr">
        <is>
          <t>[UI/UX]</t>
        </is>
      </c>
      <c r="D21" s="13" t="inlineStr">
        <is>
          <t>Low</t>
        </is>
      </c>
      <c r="E21" s="14" t="inlineStr">
        <is>
          <t>[UI/UX][Paywall 1] Link "support@chatchi.co" có vùng bấm nhỏ</t>
        </is>
      </c>
      <c r="F21" s="14" t="inlineStr">
        <is>
          <t>- Link "support@chatchi.co" ở footer (Support:) có tap target khoảng 124×16 (auto-check capture.json), thấp hơn chiều cao các link khác; cả 2 viewport.</t>
        </is>
      </c>
      <c r="G21" s="14" t="inlineStr">
        <is>
          <t>- Link email support cần có vùng bấm đủ lớn để dễ chạm; kích thước cụ thể: Spec chưa định nghĩa – cần PM/Designer confirm.</t>
        </is>
      </c>
      <c r="H21" s="14" t="inlineStr">
        <is>
          <t>Screenshot/Video: 18-paywall-small-p7.png, 18-paywall-large-p7.png</t>
        </is>
      </c>
    </row>
    <row r="22">
      <c r="A22" s="5" t="n">
        <v>10</v>
      </c>
      <c r="B22" s="5" t="inlineStr">
        <is>
          <t>Paywall 1</t>
        </is>
      </c>
      <c r="C22" s="5" t="inlineStr">
        <is>
          <t>[UI]</t>
        </is>
      </c>
      <c r="D22" s="13" t="inlineStr">
        <is>
          <t>Low</t>
        </is>
      </c>
      <c r="E22" s="14" t="inlineStr">
        <is>
          <t>[UI][Paywall 1] Payment badges hiển thị dạng pill chữ, không dùng logo chính thức</t>
        </is>
      </c>
      <c r="F22" s="14" t="inlineStr">
        <is>
          <t>- Hàng payment badges (Apple Pay · G Pay · VISA · Mastercard · PayPal) ở cả 2 plan block là pill nền trắng/đen chỉ có chữ, không phải artwork logo chính thức của từng phương thức.</t>
        </is>
      </c>
      <c r="G22" s="14" t="inlineStr">
        <is>
          <t>- Spec #18 yêu cầu payment badges (Apple Pay · G Pay · VISA · Mastercard · PayPal); artwork cụ thể Cần đối chiếu Figma / brand guideline của từng bên.</t>
        </is>
      </c>
      <c r="H22" s="14" t="inlineStr">
        <is>
          <t>Screenshot/Video: 18-paywall-small-p2.png, 18-paywall-large-p2.png</t>
        </is>
      </c>
    </row>
    <row r="23">
      <c r="A23" s="5" t="n">
        <v>11</v>
      </c>
      <c r="B23" s="5" t="inlineStr">
        <is>
          <t>Paywall 2 (sale)</t>
        </is>
      </c>
      <c r="C23" s="5" t="inlineStr">
        <is>
          <t>[UI]</t>
        </is>
      </c>
      <c r="D23" s="15" t="inlineStr">
        <is>
          <t>Medium</t>
        </is>
      </c>
      <c r="E23" s="14" t="inlineStr">
        <is>
          <t>[UI][Paywall 2] Renewal line trong offer card bị footer cố định che ở first view màn nhỏ</t>
        </is>
      </c>
      <c r="F23" s="14" t="inlineStr">
        <is>
          <t>- Màn 375×667, first view sale_m1: card offer bị cắt ngang ngay dưới button "Claim 1 month offer", dòng renewal "$22.99 for the first month, then $49.99 every month until you cancel..." chỉ hiện ~2 dòng rồi bị khối "No thanks" + Terms/Privacy cố định che; viền card bị cắt, không có fade. Lặp lại ở Paywall 3 (sale_m3), Paywall 4 (sale_y12) và Paywall 6 (legacy). Màn 430×932 và Paywall 5 (sale_lifetime) hiển thị đủ.</t>
        </is>
      </c>
      <c r="G23" s="14" t="inlineStr">
        <is>
          <t>- Spec #19-#21: renewal line là một phần của card offer, cần đọc trọn vẹn cùng CTA (không bị footer che); cách bố trí khi màn ngắn Cần đối chiếu Figma.</t>
        </is>
      </c>
      <c r="H23" s="14" t="inlineStr">
        <is>
          <t>Screenshot/Video: 23-sale_m1-small-p1.png, 24-sale_m3-small-p1.png, 25-sale_y12-small-p1.png, 22-last_chance_offer-small-p1.png, 23-sale_m1-small-p2.png</t>
        </is>
      </c>
    </row>
    <row r="24">
      <c r="A24" s="16" t="inlineStr"/>
      <c r="B24" s="16" t="inlineStr">
        <is>
          <t>Paywall 3 (sale)</t>
        </is>
      </c>
      <c r="C24" s="16" t="inlineStr"/>
      <c r="D24" s="16" t="inlineStr"/>
      <c r="E24" s="17" t="inlineStr">
        <is>
          <t>Không phát hiện lỗi</t>
        </is>
      </c>
      <c r="F24" s="17" t="inlineStr"/>
      <c r="G24" s="17" t="inlineStr"/>
      <c r="H24" s="17" t="inlineStr"/>
    </row>
    <row r="25">
      <c r="A25" s="16" t="inlineStr"/>
      <c r="B25" s="16" t="inlineStr">
        <is>
          <t>Paywall 4 (sale)</t>
        </is>
      </c>
      <c r="C25" s="16" t="inlineStr"/>
      <c r="D25" s="16" t="inlineStr"/>
      <c r="E25" s="17" t="inlineStr">
        <is>
          <t>Không phát hiện lỗi</t>
        </is>
      </c>
      <c r="F25" s="17" t="inlineStr"/>
      <c r="G25" s="17" t="inlineStr"/>
      <c r="H25" s="17" t="inlineStr"/>
    </row>
    <row r="26">
      <c r="A26" s="16" t="inlineStr"/>
      <c r="B26" s="16" t="inlineStr">
        <is>
          <t>Paywall 5 (sale)</t>
        </is>
      </c>
      <c r="C26" s="16" t="inlineStr"/>
      <c r="D26" s="16" t="inlineStr"/>
      <c r="E26" s="17" t="inlineStr">
        <is>
          <t>Không phát hiện lỗi</t>
        </is>
      </c>
      <c r="F26" s="17" t="inlineStr"/>
      <c r="G26" s="17" t="inlineStr"/>
      <c r="H26" s="17" t="inlineStr"/>
    </row>
    <row r="27">
      <c r="A27" s="5" t="n">
        <v>12</v>
      </c>
      <c r="B27" s="5" t="inlineStr">
        <is>
          <t>Paywall 6 (legacy)</t>
        </is>
      </c>
      <c r="C27" s="5" t="inlineStr">
        <is>
          <t>[UI]</t>
        </is>
      </c>
      <c r="D27" s="13" t="inlineStr">
        <is>
          <t>Low</t>
        </is>
      </c>
      <c r="E27" s="14" t="inlineStr">
        <is>
          <t>[UI][Paywall 6] Màn last_chance_offer (đã tắt) hiển thị raw token {{offer_*}}</t>
        </is>
      </c>
      <c r="F27" s="14" t="inlineStr">
        <is>
          <t>- Mở last_chance_offer bằng debug deep-jump: badge hiện "{{offer_badge}}", giá hiện "{{offer_price}}", dòng renewal hiện "{{offer_price}} today, then {{offer_renews}}". Màn này chỉ vào được qua deep-jump (offer đã retired).</t>
        </is>
      </c>
      <c r="G27" s="14" t="inlineStr">
        <is>
          <t>- Spec #22: old one-size last-chance offer is off (CONFIG.offer.enabled = false); màn không được hiển thị cho user, hoặc nếu còn trong build thì không được lộ token thô.</t>
        </is>
      </c>
      <c r="H27" s="14" t="inlineStr">
        <is>
          <t>Screenshot/Video: 22-last_chance_offer-small-p1.png, 22-last_chance_offer-large.png</t>
        </is>
      </c>
    </row>
    <row r="28">
      <c r="A28" s="16" t="inlineStr"/>
      <c r="B28" s="16" t="inlineStr">
        <is>
          <t>Upsale 1</t>
        </is>
      </c>
      <c r="C28" s="16" t="inlineStr"/>
      <c r="D28" s="16" t="inlineStr"/>
      <c r="E28" s="17" t="inlineStr">
        <is>
          <t>Không phát hiện lỗi</t>
        </is>
      </c>
      <c r="F28" s="17" t="inlineStr"/>
      <c r="G28" s="17" t="inlineStr"/>
      <c r="H28" s="17" t="inlineStr"/>
    </row>
    <row r="29">
      <c r="A29" s="5" t="n">
        <v>13</v>
      </c>
      <c r="B29" s="5" t="inlineStr">
        <is>
          <t>Download App</t>
        </is>
      </c>
      <c r="C29" s="5" t="inlineStr">
        <is>
          <t>[UI]</t>
        </is>
      </c>
      <c r="D29" s="13" t="inlineStr">
        <is>
          <t>Low</t>
        </is>
      </c>
      <c r="E29" s="14" t="inlineStr">
        <is>
          <t>[UI][Download App] Badge App Store / Google Play không dùng artwork chính thức</t>
        </is>
      </c>
      <c r="F29" s="14" t="inlineStr">
        <is>
          <t>- Hai badge "Download on the App Store" / "Get it on Google Play" dùng icon outline tự vẽ (quả táo, tam giác play) trên nền đen, không phải badge artwork chính thức của Apple/Google; cả 2 viewport.</t>
        </is>
      </c>
      <c r="G29" s="14" t="inlineStr">
        <is>
          <t>- Spec #24: App Store and Google Play badges – cần dùng badge artwork chính thức theo guideline của Apple/Google (Cần đối chiếu Figma).</t>
        </is>
      </c>
      <c r="H29" s="14" t="inlineStr">
        <is>
          <t>Screenshot/Video: 28-get_app-small.png, 28-get_app-large.png</t>
        </is>
      </c>
    </row>
  </sheetData>
  <autoFilter ref="A1:H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2026-10-07T01:29:57Z</dcterms:created>
  <dcterms:modified xmlns:dcterms="http://purl.org/dc/terms/" xmlns:xsi="http://www.w3.org/2001/XMLSchema-instance" xsi:type="dcterms:W3CDTF">2026-10-07T01:29:57Z</dcterms:modified>
</cp:coreProperties>
</file>