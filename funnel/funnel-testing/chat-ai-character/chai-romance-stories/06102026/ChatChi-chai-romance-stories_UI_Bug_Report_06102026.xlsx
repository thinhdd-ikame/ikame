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Tổng hợp bug</t>
        </is>
      </c>
    </row>
    <row r="2">
      <c r="A2" s="2" t="inlineStr">
        <is>
          <t>Project: ChatChi – chai-romance-stories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[Logic]</t>
        </is>
      </c>
      <c r="C6" s="3" t="inlineStr">
        <is>
          <t>[UI/UX]</t>
        </is>
      </c>
      <c r="D6" s="3" t="inlineStr">
        <is>
          <t>[UI]</t>
        </is>
      </c>
      <c r="E6" s="3" t="inlineStr">
        <is>
          <t>[UI][Responsive]</t>
        </is>
      </c>
      <c r="F6" s="3" t="inlineStr">
        <is>
          <t>Tổng</t>
        </is>
      </c>
    </row>
    <row r="7">
      <c r="A7" s="4" t="inlineStr">
        <is>
          <t>Intro 1 (hook_age_check)</t>
        </is>
      </c>
      <c r="B7" s="5">
        <f>COUNTIFS('Bug List'!$B$2:$B$25,$A7,'Bug List'!$C$2:$C$25,B$6)</f>
        <v/>
      </c>
      <c r="C7" s="5">
        <f>COUNTIFS('Bug List'!$B$2:$B$25,$A7,'Bug List'!$C$2:$C$25,C$6)</f>
        <v/>
      </c>
      <c r="D7" s="5">
        <f>COUNTIFS('Bug List'!$B$2:$B$25,$A7,'Bug List'!$C$2:$C$25,D$6)</f>
        <v/>
      </c>
      <c r="E7" s="5">
        <f>COUNTIFS('Bug List'!$B$2:$B$25,$A7,'Bug List'!$C$2:$C$25,E$6)</f>
        <v/>
      </c>
      <c r="F7" s="5">
        <f>SUM(B7:E7)</f>
        <v/>
      </c>
    </row>
    <row r="8">
      <c r="A8" s="4" t="inlineStr">
        <is>
          <t>Intro 2 (trope)</t>
        </is>
      </c>
      <c r="B8" s="5">
        <f>COUNTIFS('Bug List'!$B$2:$B$25,$A8,'Bug List'!$C$2:$C$25,B$6)</f>
        <v/>
      </c>
      <c r="C8" s="5">
        <f>COUNTIFS('Bug List'!$B$2:$B$25,$A8,'Bug List'!$C$2:$C$25,C$6)</f>
        <v/>
      </c>
      <c r="D8" s="5">
        <f>COUNTIFS('Bug List'!$B$2:$B$25,$A8,'Bug List'!$C$2:$C$25,D$6)</f>
        <v/>
      </c>
      <c r="E8" s="5">
        <f>COUNTIFS('Bug List'!$B$2:$B$25,$A8,'Bug List'!$C$2:$C$25,E$6)</f>
        <v/>
      </c>
      <c r="F8" s="5">
        <f>SUM(B8:E8)</f>
        <v/>
      </c>
    </row>
    <row r="9">
      <c r="A9" s="4" t="inlineStr">
        <is>
          <t>Intro 3 (story_name)</t>
        </is>
      </c>
      <c r="B9" s="5">
        <f>COUNTIFS('Bug List'!$B$2:$B$25,$A9,'Bug List'!$C$2:$C$25,B$6)</f>
        <v/>
      </c>
      <c r="C9" s="5">
        <f>COUNTIFS('Bug List'!$B$2:$B$25,$A9,'Bug List'!$C$2:$C$25,C$6)</f>
        <v/>
      </c>
      <c r="D9" s="5">
        <f>COUNTIFS('Bug List'!$B$2:$B$25,$A9,'Bug List'!$C$2:$C$25,D$6)</f>
        <v/>
      </c>
      <c r="E9" s="5">
        <f>COUNTIFS('Bug List'!$B$2:$B$25,$A9,'Bug List'!$C$2:$C$25,E$6)</f>
        <v/>
      </c>
      <c r="F9" s="5">
        <f>SUM(B9:E9)</f>
        <v/>
      </c>
    </row>
    <row r="10">
      <c r="A10" s="4" t="inlineStr">
        <is>
          <t>Intro 4 (love_interest)</t>
        </is>
      </c>
      <c r="B10" s="5">
        <f>COUNTIFS('Bug List'!$B$2:$B$25,$A10,'Bug List'!$C$2:$C$25,B$6)</f>
        <v/>
      </c>
      <c r="C10" s="5">
        <f>COUNTIFS('Bug List'!$B$2:$B$25,$A10,'Bug List'!$C$2:$C$25,C$6)</f>
        <v/>
      </c>
      <c r="D10" s="5">
        <f>COUNTIFS('Bug List'!$B$2:$B$25,$A10,'Bug List'!$C$2:$C$25,D$6)</f>
        <v/>
      </c>
      <c r="E10" s="5">
        <f>COUNTIFS('Bug List'!$B$2:$B$25,$A10,'Bug List'!$C$2:$C$25,E$6)</f>
        <v/>
      </c>
      <c r="F10" s="5">
        <f>SUM(B10:E10)</f>
        <v/>
      </c>
    </row>
    <row r="11">
      <c r="A11" s="4" t="inlineStr">
        <is>
          <t>Intro 5 (narrator_voice)</t>
        </is>
      </c>
      <c r="B11" s="5">
        <f>COUNTIFS('Bug List'!$B$2:$B$25,$A11,'Bug List'!$C$2:$C$25,B$6)</f>
        <v/>
      </c>
      <c r="C11" s="5">
        <f>COUNTIFS('Bug List'!$B$2:$B$25,$A11,'Bug List'!$C$2:$C$25,C$6)</f>
        <v/>
      </c>
      <c r="D11" s="5">
        <f>COUNTIFS('Bug List'!$B$2:$B$25,$A11,'Bug List'!$C$2:$C$25,D$6)</f>
        <v/>
      </c>
      <c r="E11" s="5">
        <f>COUNTIFS('Bug List'!$B$2:$B$25,$A11,'Bug List'!$C$2:$C$25,E$6)</f>
        <v/>
      </c>
      <c r="F11" s="5">
        <f>SUM(B11:E11)</f>
        <v/>
      </c>
    </row>
    <row r="12">
      <c r="A12" s="4" t="inlineStr">
        <is>
          <t>Intro 6 (burn_pace)</t>
        </is>
      </c>
      <c r="B12" s="5">
        <f>COUNTIFS('Bug List'!$B$2:$B$25,$A12,'Bug List'!$C$2:$C$25,B$6)</f>
        <v/>
      </c>
      <c r="C12" s="5">
        <f>COUNTIFS('Bug List'!$B$2:$B$25,$A12,'Bug List'!$C$2:$C$25,C$6)</f>
        <v/>
      </c>
      <c r="D12" s="5">
        <f>COUNTIFS('Bug List'!$B$2:$B$25,$A12,'Bug List'!$C$2:$C$25,D$6)</f>
        <v/>
      </c>
      <c r="E12" s="5">
        <f>COUNTIFS('Bug List'!$B$2:$B$25,$A12,'Bug List'!$C$2:$C$25,E$6)</f>
        <v/>
      </c>
      <c r="F12" s="5">
        <f>SUM(B12:E12)</f>
        <v/>
      </c>
    </row>
    <row r="13">
      <c r="A13" s="4" t="inlineStr">
        <is>
          <t>Intro 7 (trust)</t>
        </is>
      </c>
      <c r="B13" s="5">
        <f>COUNTIFS('Bug List'!$B$2:$B$25,$A13,'Bug List'!$C$2:$C$25,B$6)</f>
        <v/>
      </c>
      <c r="C13" s="5">
        <f>COUNTIFS('Bug List'!$B$2:$B$25,$A13,'Bug List'!$C$2:$C$25,C$6)</f>
        <v/>
      </c>
      <c r="D13" s="5">
        <f>COUNTIFS('Bug List'!$B$2:$B$25,$A13,'Bug List'!$C$2:$C$25,D$6)</f>
        <v/>
      </c>
      <c r="E13" s="5">
        <f>COUNTIFS('Bug List'!$B$2:$B$25,$A13,'Bug List'!$C$2:$C$25,E$6)</f>
        <v/>
      </c>
      <c r="F13" s="5">
        <f>SUM(B13:E13)</f>
        <v/>
      </c>
    </row>
    <row r="14">
      <c r="A14" s="4" t="inlineStr">
        <is>
          <t>Intro 8 (writing_chapter)</t>
        </is>
      </c>
      <c r="B14" s="5">
        <f>COUNTIFS('Bug List'!$B$2:$B$25,$A14,'Bug List'!$C$2:$C$25,B$6)</f>
        <v/>
      </c>
      <c r="C14" s="5">
        <f>COUNTIFS('Bug List'!$B$2:$B$25,$A14,'Bug List'!$C$2:$C$25,C$6)</f>
        <v/>
      </c>
      <c r="D14" s="5">
        <f>COUNTIFS('Bug List'!$B$2:$B$25,$A14,'Bug List'!$C$2:$C$25,D$6)</f>
        <v/>
      </c>
      <c r="E14" s="5">
        <f>COUNTIFS('Bug List'!$B$2:$B$25,$A14,'Bug List'!$C$2:$C$25,E$6)</f>
        <v/>
      </c>
      <c r="F14" s="5">
        <f>SUM(B14:E14)</f>
        <v/>
      </c>
    </row>
    <row r="15">
      <c r="A15" s="4" t="inlineStr">
        <is>
          <t>Intro 9 (story_reveal)</t>
        </is>
      </c>
      <c r="B15" s="5">
        <f>COUNTIFS('Bug List'!$B$2:$B$25,$A15,'Bug List'!$C$2:$C$25,B$6)</f>
        <v/>
      </c>
      <c r="C15" s="5">
        <f>COUNTIFS('Bug List'!$B$2:$B$25,$A15,'Bug List'!$C$2:$C$25,C$6)</f>
        <v/>
      </c>
      <c r="D15" s="5">
        <f>COUNTIFS('Bug List'!$B$2:$B$25,$A15,'Bug List'!$C$2:$C$25,D$6)</f>
        <v/>
      </c>
      <c r="E15" s="5">
        <f>COUNTIFS('Bug List'!$B$2:$B$25,$A15,'Bug List'!$C$2:$C$25,E$6)</f>
        <v/>
      </c>
      <c r="F15" s="5">
        <f>SUM(B15:E15)</f>
        <v/>
      </c>
    </row>
    <row r="16">
      <c r="A16" s="4" t="inlineStr">
        <is>
          <t>Intro 10 (chapter1_narration)</t>
        </is>
      </c>
      <c r="B16" s="5">
        <f>COUNTIFS('Bug List'!$B$2:$B$25,$A16,'Bug List'!$C$2:$C$25,B$6)</f>
        <v/>
      </c>
      <c r="C16" s="5">
        <f>COUNTIFS('Bug List'!$B$2:$B$25,$A16,'Bug List'!$C$2:$C$25,C$6)</f>
        <v/>
      </c>
      <c r="D16" s="5">
        <f>COUNTIFS('Bug List'!$B$2:$B$25,$A16,'Bug List'!$C$2:$C$25,D$6)</f>
        <v/>
      </c>
      <c r="E16" s="5">
        <f>COUNTIFS('Bug List'!$B$2:$B$25,$A16,'Bug List'!$C$2:$C$25,E$6)</f>
        <v/>
      </c>
      <c r="F16" s="5">
        <f>SUM(B16:E16)</f>
        <v/>
      </c>
    </row>
    <row r="17">
      <c r="A17" s="4" t="inlineStr">
        <is>
          <t>Intro 11 (choice_bends_story)</t>
        </is>
      </c>
      <c r="B17" s="5">
        <f>COUNTIFS('Bug List'!$B$2:$B$25,$A17,'Bug List'!$C$2:$C$25,B$6)</f>
        <v/>
      </c>
      <c r="C17" s="5">
        <f>COUNTIFS('Bug List'!$B$2:$B$25,$A17,'Bug List'!$C$2:$C$25,C$6)</f>
        <v/>
      </c>
      <c r="D17" s="5">
        <f>COUNTIFS('Bug List'!$B$2:$B$25,$A17,'Bug List'!$C$2:$C$25,D$6)</f>
        <v/>
      </c>
      <c r="E17" s="5">
        <f>COUNTIFS('Bug List'!$B$2:$B$25,$A17,'Bug List'!$C$2:$C$25,E$6)</f>
        <v/>
      </c>
      <c r="F17" s="5">
        <f>SUM(B17:E17)</f>
        <v/>
      </c>
    </row>
    <row r="18">
      <c r="A18" s="4" t="inlineStr">
        <is>
          <t>Intro 12 (chapter1_cliffhanger)</t>
        </is>
      </c>
      <c r="B18" s="5">
        <f>COUNTIFS('Bug List'!$B$2:$B$25,$A18,'Bug List'!$C$2:$C$25,B$6)</f>
        <v/>
      </c>
      <c r="C18" s="5">
        <f>COUNTIFS('Bug List'!$B$2:$B$25,$A18,'Bug List'!$C$2:$C$25,C$6)</f>
        <v/>
      </c>
      <c r="D18" s="5">
        <f>COUNTIFS('Bug List'!$B$2:$B$25,$A18,'Bug List'!$C$2:$C$25,D$6)</f>
        <v/>
      </c>
      <c r="E18" s="5">
        <f>COUNTIFS('Bug List'!$B$2:$B$25,$A18,'Bug List'!$C$2:$C$25,E$6)</f>
        <v/>
      </c>
      <c r="F18" s="5">
        <f>SUM(B18:E18)</f>
        <v/>
      </c>
    </row>
    <row r="19">
      <c r="A19" s="4" t="inlineStr">
        <is>
          <t>Intro 13 (save_story)</t>
        </is>
      </c>
      <c r="B19" s="5">
        <f>COUNTIFS('Bug List'!$B$2:$B$25,$A19,'Bug List'!$C$2:$C$25,B$6)</f>
        <v/>
      </c>
      <c r="C19" s="5">
        <f>COUNTIFS('Bug List'!$B$2:$B$25,$A19,'Bug List'!$C$2:$C$25,C$6)</f>
        <v/>
      </c>
      <c r="D19" s="5">
        <f>COUNTIFS('Bug List'!$B$2:$B$25,$A19,'Bug List'!$C$2:$C$25,D$6)</f>
        <v/>
      </c>
      <c r="E19" s="5">
        <f>COUNTIFS('Bug List'!$B$2:$B$25,$A19,'Bug List'!$C$2:$C$25,E$6)</f>
        <v/>
      </c>
      <c r="F19" s="5">
        <f>SUM(B19:E19)</f>
        <v/>
      </c>
    </row>
    <row r="20">
      <c r="A20" s="4" t="inlineStr">
        <is>
          <t>Paywall 1 (paywall)</t>
        </is>
      </c>
      <c r="B20" s="5">
        <f>COUNTIFS('Bug List'!$B$2:$B$25,$A20,'Bug List'!$C$2:$C$25,B$6)</f>
        <v/>
      </c>
      <c r="C20" s="5">
        <f>COUNTIFS('Bug List'!$B$2:$B$25,$A20,'Bug List'!$C$2:$C$25,C$6)</f>
        <v/>
      </c>
      <c r="D20" s="5">
        <f>COUNTIFS('Bug List'!$B$2:$B$25,$A20,'Bug List'!$C$2:$C$25,D$6)</f>
        <v/>
      </c>
      <c r="E20" s="5">
        <f>COUNTIFS('Bug List'!$B$2:$B$25,$A20,'Bug List'!$C$2:$C$25,E$6)</f>
        <v/>
      </c>
      <c r="F20" s="5">
        <f>SUM(B20:E20)</f>
        <v/>
      </c>
    </row>
    <row r="21">
      <c r="A21" s="4" t="inlineStr">
        <is>
          <t>Paywall 2 (sale) (sale_m1)</t>
        </is>
      </c>
      <c r="B21" s="5">
        <f>COUNTIFS('Bug List'!$B$2:$B$25,$A21,'Bug List'!$C$2:$C$25,B$6)</f>
        <v/>
      </c>
      <c r="C21" s="5">
        <f>COUNTIFS('Bug List'!$B$2:$B$25,$A21,'Bug List'!$C$2:$C$25,C$6)</f>
        <v/>
      </c>
      <c r="D21" s="5">
        <f>COUNTIFS('Bug List'!$B$2:$B$25,$A21,'Bug List'!$C$2:$C$25,D$6)</f>
        <v/>
      </c>
      <c r="E21" s="5">
        <f>COUNTIFS('Bug List'!$B$2:$B$25,$A21,'Bug List'!$C$2:$C$25,E$6)</f>
        <v/>
      </c>
      <c r="F21" s="5">
        <f>SUM(B21:E21)</f>
        <v/>
      </c>
    </row>
    <row r="22">
      <c r="A22" s="4" t="inlineStr">
        <is>
          <t>Paywall 3 (sale) (sale_m3)</t>
        </is>
      </c>
      <c r="B22" s="5">
        <f>COUNTIFS('Bug List'!$B$2:$B$25,$A22,'Bug List'!$C$2:$C$25,B$6)</f>
        <v/>
      </c>
      <c r="C22" s="5">
        <f>COUNTIFS('Bug List'!$B$2:$B$25,$A22,'Bug List'!$C$2:$C$25,C$6)</f>
        <v/>
      </c>
      <c r="D22" s="5">
        <f>COUNTIFS('Bug List'!$B$2:$B$25,$A22,'Bug List'!$C$2:$C$25,D$6)</f>
        <v/>
      </c>
      <c r="E22" s="5">
        <f>COUNTIFS('Bug List'!$B$2:$B$25,$A22,'Bug List'!$C$2:$C$25,E$6)</f>
        <v/>
      </c>
      <c r="F22" s="5">
        <f>SUM(B22:E22)</f>
        <v/>
      </c>
    </row>
    <row r="23">
      <c r="A23" s="4" t="inlineStr">
        <is>
          <t>Paywall 4 (sale) (sale_y12)</t>
        </is>
      </c>
      <c r="B23" s="5">
        <f>COUNTIFS('Bug List'!$B$2:$B$25,$A23,'Bug List'!$C$2:$C$25,B$6)</f>
        <v/>
      </c>
      <c r="C23" s="5">
        <f>COUNTIFS('Bug List'!$B$2:$B$25,$A23,'Bug List'!$C$2:$C$25,C$6)</f>
        <v/>
      </c>
      <c r="D23" s="5">
        <f>COUNTIFS('Bug List'!$B$2:$B$25,$A23,'Bug List'!$C$2:$C$25,D$6)</f>
        <v/>
      </c>
      <c r="E23" s="5">
        <f>COUNTIFS('Bug List'!$B$2:$B$25,$A23,'Bug List'!$C$2:$C$25,E$6)</f>
        <v/>
      </c>
      <c r="F23" s="5">
        <f>SUM(B23:E23)</f>
        <v/>
      </c>
    </row>
    <row r="24">
      <c r="A24" s="4" t="inlineStr">
        <is>
          <t>Paywall 5 (sale) (sale_lifetime)</t>
        </is>
      </c>
      <c r="B24" s="5">
        <f>COUNTIFS('Bug List'!$B$2:$B$25,$A24,'Bug List'!$C$2:$C$25,B$6)</f>
        <v/>
      </c>
      <c r="C24" s="5">
        <f>COUNTIFS('Bug List'!$B$2:$B$25,$A24,'Bug List'!$C$2:$C$25,C$6)</f>
        <v/>
      </c>
      <c r="D24" s="5">
        <f>COUNTIFS('Bug List'!$B$2:$B$25,$A24,'Bug List'!$C$2:$C$25,D$6)</f>
        <v/>
      </c>
      <c r="E24" s="5">
        <f>COUNTIFS('Bug List'!$B$2:$B$25,$A24,'Bug List'!$C$2:$C$25,E$6)</f>
        <v/>
      </c>
      <c r="F24" s="5">
        <f>SUM(B24:E24)</f>
        <v/>
      </c>
    </row>
    <row r="25">
      <c r="A25" s="4" t="inlineStr">
        <is>
          <t>Upsale 1 (upsell_lifetime)</t>
        </is>
      </c>
      <c r="B25" s="5">
        <f>COUNTIFS('Bug List'!$B$2:$B$25,$A25,'Bug List'!$C$2:$C$25,B$6)</f>
        <v/>
      </c>
      <c r="C25" s="5">
        <f>COUNTIFS('Bug List'!$B$2:$B$25,$A25,'Bug List'!$C$2:$C$25,C$6)</f>
        <v/>
      </c>
      <c r="D25" s="5">
        <f>COUNTIFS('Bug List'!$B$2:$B$25,$A25,'Bug List'!$C$2:$C$25,D$6)</f>
        <v/>
      </c>
      <c r="E25" s="5">
        <f>COUNTIFS('Bug List'!$B$2:$B$25,$A25,'Bug List'!$C$2:$C$25,E$6)</f>
        <v/>
      </c>
      <c r="F25" s="5">
        <f>SUM(B25:E25)</f>
        <v/>
      </c>
    </row>
    <row r="26">
      <c r="A26" s="4" t="inlineStr">
        <is>
          <t>Download App (get_app)</t>
        </is>
      </c>
      <c r="B26" s="5">
        <f>COUNTIFS('Bug List'!$B$2:$B$25,$A26,'Bug List'!$C$2:$C$25,B$6)</f>
        <v/>
      </c>
      <c r="C26" s="5">
        <f>COUNTIFS('Bug List'!$B$2:$B$25,$A26,'Bug List'!$C$2:$C$25,C$6)</f>
        <v/>
      </c>
      <c r="D26" s="5">
        <f>COUNTIFS('Bug List'!$B$2:$B$25,$A26,'Bug List'!$C$2:$C$25,D$6)</f>
        <v/>
      </c>
      <c r="E26" s="5">
        <f>COUNTIFS('Bug List'!$B$2:$B$25,$A26,'Bug List'!$C$2:$C$25,E$6)</f>
        <v/>
      </c>
      <c r="F26" s="5">
        <f>SUM(B26:E26)</f>
        <v/>
      </c>
    </row>
    <row r="27">
      <c r="A27" s="4" t="inlineStr">
        <is>
          <t>Chapter 2 – chat trả phí (chapter2_begins) (cần confirm loại màn)</t>
        </is>
      </c>
      <c r="B27" s="5">
        <f>COUNTIFS('Bug List'!$B$2:$B$25,$A27,'Bug List'!$C$2:$C$25,B$6)</f>
        <v/>
      </c>
      <c r="C27" s="5">
        <f>COUNTIFS('Bug List'!$B$2:$B$25,$A27,'Bug List'!$C$2:$C$25,C$6)</f>
        <v/>
      </c>
      <c r="D27" s="5">
        <f>COUNTIFS('Bug List'!$B$2:$B$25,$A27,'Bug List'!$C$2:$C$25,D$6)</f>
        <v/>
      </c>
      <c r="E27" s="5">
        <f>COUNTIFS('Bug List'!$B$2:$B$25,$A27,'Bug List'!$C$2:$C$25,E$6)</f>
        <v/>
      </c>
      <c r="F27" s="5">
        <f>SUM(B27:E27)</f>
        <v/>
      </c>
    </row>
    <row r="28">
      <c r="A28" s="4" t="inlineStr">
        <is>
          <t>Nightly reminder (nightly_reminder) (cần confirm loại màn)</t>
        </is>
      </c>
      <c r="B28" s="5">
        <f>COUNTIFS('Bug List'!$B$2:$B$25,$A28,'Bug List'!$C$2:$C$25,B$6)</f>
        <v/>
      </c>
      <c r="C28" s="5">
        <f>COUNTIFS('Bug List'!$B$2:$B$25,$A28,'Bug List'!$C$2:$C$25,C$6)</f>
        <v/>
      </c>
      <c r="D28" s="5">
        <f>COUNTIFS('Bug List'!$B$2:$B$25,$A28,'Bug List'!$C$2:$C$25,D$6)</f>
        <v/>
      </c>
      <c r="E28" s="5">
        <f>COUNTIFS('Bug List'!$B$2:$B$25,$A28,'Bug List'!$C$2:$C$25,E$6)</f>
        <v/>
      </c>
      <c r="F28" s="5">
        <f>SUM(B28:E28)</f>
        <v/>
      </c>
    </row>
    <row r="29">
      <c r="A29" s="4" t="inlineStr">
        <is>
          <t>Limit / chapter lock (limit_chapter_lock) (cần confirm loại màn)</t>
        </is>
      </c>
      <c r="B29" s="5">
        <f>COUNTIFS('Bug List'!$B$2:$B$25,$A29,'Bug List'!$C$2:$C$25,B$6)</f>
        <v/>
      </c>
      <c r="C29" s="5">
        <f>COUNTIFS('Bug List'!$B$2:$B$25,$A29,'Bug List'!$C$2:$C$25,C$6)</f>
        <v/>
      </c>
      <c r="D29" s="5">
        <f>COUNTIFS('Bug List'!$B$2:$B$25,$A29,'Bug List'!$C$2:$C$25,D$6)</f>
        <v/>
      </c>
      <c r="E29" s="5">
        <f>COUNTIFS('Bug List'!$B$2:$B$25,$A29,'Bug List'!$C$2:$C$25,E$6)</f>
        <v/>
      </c>
      <c r="F29" s="5">
        <f>SUM(B29:E29)</f>
        <v/>
      </c>
    </row>
    <row r="30">
      <c r="A30" s="4" t="inlineStr">
        <is>
          <t>Last chance offer (last_chance_offer) – màn đã tắt (cần confirm loại màn)</t>
        </is>
      </c>
      <c r="B30" s="5">
        <f>COUNTIFS('Bug List'!$B$2:$B$25,$A30,'Bug List'!$C$2:$C$25,B$6)</f>
        <v/>
      </c>
      <c r="C30" s="5">
        <f>COUNTIFS('Bug List'!$B$2:$B$25,$A30,'Bug List'!$C$2:$C$25,C$6)</f>
        <v/>
      </c>
      <c r="D30" s="5">
        <f>COUNTIFS('Bug List'!$B$2:$B$25,$A30,'Bug List'!$C$2:$C$25,D$6)</f>
        <v/>
      </c>
      <c r="E30" s="5">
        <f>COUNTIFS('Bug List'!$B$2:$B$25,$A30,'Bug List'!$C$2:$C$25,E$6)</f>
        <v/>
      </c>
      <c r="F30" s="5">
        <f>SUM(B30:E30)</f>
        <v/>
      </c>
    </row>
    <row r="31">
      <c r="A31" s="6" t="inlineStr">
        <is>
          <t>Tổng</t>
        </is>
      </c>
      <c r="B31" s="7">
        <f>SUM(B7:B30)</f>
        <v/>
      </c>
      <c r="C31" s="7">
        <f>SUM(C7:C30)</f>
        <v/>
      </c>
      <c r="D31" s="7">
        <f>SUM(D7:D30)</f>
        <v/>
      </c>
      <c r="E31" s="7">
        <f>SUM(E7:E30)</f>
        <v/>
      </c>
      <c r="F31" s="7">
        <f>SUM(F7:F30)</f>
        <v/>
      </c>
    </row>
    <row r="33">
      <c r="A33" s="3" t="inlineStr">
        <is>
          <t>Severity</t>
        </is>
      </c>
      <c r="B33" s="3" t="inlineStr">
        <is>
          <t>Số bug</t>
        </is>
      </c>
    </row>
    <row r="34">
      <c r="A34" s="8" t="inlineStr">
        <is>
          <t>Critical</t>
        </is>
      </c>
      <c r="B34" s="9">
        <f>COUNTIF('Bug List'!$D$2:$D$25,A34)</f>
        <v/>
      </c>
    </row>
    <row r="35">
      <c r="A35" s="10" t="inlineStr">
        <is>
          <t>High</t>
        </is>
      </c>
      <c r="B35" s="9">
        <f>COUNTIF('Bug List'!$D$2:$D$25,A35)</f>
        <v/>
      </c>
    </row>
    <row r="36">
      <c r="A36" s="11" t="inlineStr">
        <is>
          <t>Medium</t>
        </is>
      </c>
      <c r="B36" s="9">
        <f>COUNTIF('Bug List'!$D$2:$D$25,A36)</f>
        <v/>
      </c>
    </row>
    <row r="37">
      <c r="A37" s="12" t="inlineStr">
        <is>
          <t>Low</t>
        </is>
      </c>
      <c r="B37" s="9">
        <f>COUNTIF('Bug List'!$D$2:$D$25,A37)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 (hook_age_check)</t>
        </is>
      </c>
      <c r="C2" s="5" t="inlineStr">
        <is>
          <t>[UI][Responsive]</t>
        </is>
      </c>
      <c r="D2" s="13" t="inlineStr">
        <is>
          <t>Low</t>
        </is>
      </c>
      <c r="E2" s="14" t="inlineStr">
        <is>
          <t>[UI][Responsive][Intro 1] Hint "Scroll to your birth year" bị CTA sticky che ở màn nhỏ</t>
        </is>
      </c>
      <c r="F2" s="14" t="inlineStr">
        <is>
          <t>- Màn Intro 1 (hook_age_check) ở 375×667: first view không thấy hint "Scroll to your birth year" dưới year wheel vì CTA "I'm 18+ · Start" pinned đè lên; phải cuộn trang mới thấy hint. Ở 430×932 hint hiển thị đầy đủ.</t>
        </is>
      </c>
      <c r="G2" s="14" t="inlineStr">
        <is>
          <t>- Hint dưới year wheel cần hiển thị đầy đủ, không bị CTA sticky che ở mọi kích thước màn – cần Designer confirm layout màn nhỏ.</t>
        </is>
      </c>
      <c r="H2" s="14" t="inlineStr">
        <is>
          <t>Screenshot/Video: screens/01-hook_age_check-small-p1.png, screens/01-hook_age_check-small-p2.png, screens/01-hook_age_check-large.png</t>
        </is>
      </c>
    </row>
    <row r="3">
      <c r="A3" s="5" t="n">
        <v>2</v>
      </c>
      <c r="B3" s="5" t="inlineStr">
        <is>
          <t>Intro 2 (trope)</t>
        </is>
      </c>
      <c r="C3" s="5" t="inlineStr">
        <is>
          <t>[UI][Responsive]</t>
        </is>
      </c>
      <c r="D3" s="15" t="inlineStr">
        <is>
          <t>Medium</t>
        </is>
      </c>
      <c r="E3" s="14" t="inlineStr">
        <is>
          <t>[UI][Responsive][Intro 2] Emoji icon đè lên eyebrow "CHATCHI · A ROMANCE STORY" trên card trope ở màn lớn</t>
        </is>
      </c>
      <c r="F3" s="14" t="inlineStr">
        <is>
          <t>- Màn Intro 2 (trope) ở 430×932: eyebrow trên mỗi card đổi thành "CHATCHI · A ROMANCE STORY" và emoji trope (⚔️, 🧚, ☕, 💍, 👑) nằm chồng lên chữ "C" đầu tiên ("✕HATCHI…"). Ở 375×667 eyebrow chỉ là "CHATCHI" và không bị đè.</t>
        </is>
      </c>
      <c r="G3" s="14" t="inlineStr">
        <is>
          <t>- Emoji icon và eyebrow trên card không được overlap ở mọi kích thước màn; eyebrow cần nhất quán giữa 2 viewport – cần đối chiếu Figma.</t>
        </is>
      </c>
      <c r="H3" s="14" t="inlineStr">
        <is>
          <t>Screenshot/Video: screens/02-trope-large.png, screens/02-trope-small.png</t>
        </is>
      </c>
    </row>
    <row r="4">
      <c r="A4" s="16" t="inlineStr"/>
      <c r="B4" s="16" t="inlineStr">
        <is>
          <t>Intro 3 (story_name)</t>
        </is>
      </c>
      <c r="C4" s="16" t="inlineStr"/>
      <c r="D4" s="16" t="inlineStr"/>
      <c r="E4" s="17" t="inlineStr">
        <is>
          <t>Không phát hiện lỗi</t>
        </is>
      </c>
      <c r="F4" s="17" t="inlineStr"/>
      <c r="G4" s="17" t="inlineStr"/>
      <c r="H4" s="17" t="inlineStr"/>
    </row>
    <row r="5">
      <c r="A5" s="5" t="n">
        <v>3</v>
      </c>
      <c r="B5" s="5" t="inlineStr">
        <is>
          <t>Intro 4 (love_interest)</t>
        </is>
      </c>
      <c r="C5" s="5" t="inlineStr">
        <is>
          <t>[UI]</t>
        </is>
      </c>
      <c r="D5" s="13" t="inlineStr">
        <is>
          <t>Low</t>
        </is>
      </c>
      <c r="E5" s="14" t="inlineStr">
        <is>
          <t>[UI][Intro 4] Option "Surprise me" dùng lại đúng ảnh portrait của option "A man"</t>
        </is>
      </c>
      <c r="F5" s="14" t="inlineStr">
        <is>
          <t>- Màn Intro 4 (love_interest): option "🌈 Surprise me" hiển thị cùng ảnh portrait nam (hiệp sĩ) như option "👨 A man", nên 2 option trông giống nhau.</t>
        </is>
      </c>
      <c r="G5" s="14" t="inlineStr">
        <is>
          <t>- Brief: mỗi pill có "blurred silhouette tinted in the chosen trope's palette"; ảnh riêng cho "Surprise me" chưa được định nghĩa – cần PM/Designer confirm.</t>
        </is>
      </c>
      <c r="H5" s="14" t="inlineStr">
        <is>
          <t>Screenshot/Video: screens/04-love_interest-small.png, screens/04-love_interest-large.png</t>
        </is>
      </c>
    </row>
    <row r="6">
      <c r="A6" s="16" t="inlineStr"/>
      <c r="B6" s="16" t="inlineStr">
        <is>
          <t>Intro 5 (narrator_voice)</t>
        </is>
      </c>
      <c r="C6" s="16" t="inlineStr"/>
      <c r="D6" s="16" t="inlineStr"/>
      <c r="E6" s="17" t="inlineStr">
        <is>
          <t>Không phát hiện lỗi</t>
        </is>
      </c>
      <c r="F6" s="17" t="inlineStr"/>
      <c r="G6" s="17" t="inlineStr"/>
      <c r="H6" s="17" t="inlineStr"/>
    </row>
    <row r="7">
      <c r="A7" s="16" t="inlineStr"/>
      <c r="B7" s="16" t="inlineStr">
        <is>
          <t>Intro 6 (burn_pace)</t>
        </is>
      </c>
      <c r="C7" s="16" t="inlineStr"/>
      <c r="D7" s="16" t="inlineStr"/>
      <c r="E7" s="17" t="inlineStr">
        <is>
          <t>Không phát hiện lỗi</t>
        </is>
      </c>
      <c r="F7" s="17" t="inlineStr"/>
      <c r="G7" s="17" t="inlineStr"/>
      <c r="H7" s="17" t="inlineStr"/>
    </row>
    <row r="8">
      <c r="A8" s="16" t="inlineStr"/>
      <c r="B8" s="16" t="inlineStr">
        <is>
          <t>Intro 7 (trust)</t>
        </is>
      </c>
      <c r="C8" s="16" t="inlineStr"/>
      <c r="D8" s="16" t="inlineStr"/>
      <c r="E8" s="17" t="inlineStr">
        <is>
          <t>Không phát hiện lỗi</t>
        </is>
      </c>
      <c r="F8" s="17" t="inlineStr"/>
      <c r="G8" s="17" t="inlineStr"/>
      <c r="H8" s="17" t="inlineStr"/>
    </row>
    <row r="9">
      <c r="A9" s="16" t="inlineStr"/>
      <c r="B9" s="16" t="inlineStr">
        <is>
          <t>Intro 8 (writing_chapter)</t>
        </is>
      </c>
      <c r="C9" s="16" t="inlineStr"/>
      <c r="D9" s="16" t="inlineStr"/>
      <c r="E9" s="17" t="inlineStr">
        <is>
          <t>Không phát hiện lỗi</t>
        </is>
      </c>
      <c r="F9" s="17" t="inlineStr"/>
      <c r="G9" s="17" t="inlineStr"/>
      <c r="H9" s="17" t="inlineStr"/>
    </row>
    <row r="10">
      <c r="A10" s="5" t="n">
        <v>4</v>
      </c>
      <c r="B10" s="5" t="inlineStr">
        <is>
          <t>Intro 9 (story_reveal)</t>
        </is>
      </c>
      <c r="C10" s="5" t="inlineStr">
        <is>
          <t>[UI][Responsive]</t>
        </is>
      </c>
      <c r="D10" s="13" t="inlineStr">
        <is>
          <t>Low</t>
        </is>
      </c>
      <c r="E10" s="14" t="inlineStr">
        <is>
          <t>[UI][Responsive][Intro 9] Sau khi cuộn, cover truyện mất title và hiện khối màu be trống ở đáy</t>
        </is>
      </c>
      <c r="F10" s="14" t="inlineStr">
        <is>
          <t>- Màn Intro 9 (story_reveal) ở 375×667, sau khi cuộn 1 bước: cover "Ashes &amp; Oaths" bị cắt mất phần title phía trên và phần đáy cover (vị trí tag "Enemies to lovers") hiển thị một khối màu be trống. Trước khi cuộn và ở 430×932 cover hiển thị bình thường. (Độ tin cậy thấp: có thể là frame giữa animation cover.)</t>
        </is>
      </c>
      <c r="G10" s="14" t="inlineStr">
        <is>
          <t>- Cover cần hiển thị đầy đủ (title, portrait, trope tag) khi cuộn – Spec chưa định nghĩa trạng thái khi cuộn – cần PM/Designer confirm.</t>
        </is>
      </c>
      <c r="H10" s="14" t="inlineStr">
        <is>
          <t>Screenshot/Video: screens/09-story_reveal-small-p2.png, screens/09-story_reveal-small-p1.png</t>
        </is>
      </c>
    </row>
    <row r="11">
      <c r="A11" s="5" t="n">
        <v>5</v>
      </c>
      <c r="B11" s="5" t="inlineStr">
        <is>
          <t>Intro 10 (chapter1_narration)</t>
        </is>
      </c>
      <c r="C11" s="5" t="inlineStr">
        <is>
          <t>[UI/UX]</t>
        </is>
      </c>
      <c r="D11" s="13" t="inlineStr">
        <is>
          <t>Low</t>
        </is>
      </c>
      <c r="E11" s="14" t="inlineStr">
        <is>
          <t>[UI/UX][Intro 10] Button tốc độ "1x" trên narrator bar có tap target nhỏ</t>
        </is>
      </c>
      <c r="F11" s="14" t="inlineStr">
        <is>
          <t>- Màn Intro 10 (chapter1_narration): button "1x" trên narrator bar có vùng bấm 35×29px (auto-check). Lặp lại ở Intro 11 (choice_bends_story) và các màn chat trả phí chapter2_begins / nightly_reminder / limit_chapter_lock.</t>
        </is>
      </c>
      <c r="G11" s="14" t="inlineStr">
        <is>
          <t>- Tap target tối thiểu 44pt theo Apple HIG – cần Designer confirm.</t>
        </is>
      </c>
      <c r="H11" s="14" t="inlineStr">
        <is>
          <t>Screenshot/Video: screens/10-chapter1_narration-small.png, screens/11-choice_bends_story-small.png, screens/15-chapter2_begins-small-p1.png</t>
        </is>
      </c>
    </row>
    <row r="12">
      <c r="A12" s="16" t="inlineStr"/>
      <c r="B12" s="16" t="inlineStr">
        <is>
          <t>Intro 11 (choice_bends_story)</t>
        </is>
      </c>
      <c r="C12" s="16" t="inlineStr"/>
      <c r="D12" s="16" t="inlineStr"/>
      <c r="E12" s="17" t="inlineStr">
        <is>
          <t>Không phát hiện lỗi</t>
        </is>
      </c>
      <c r="F12" s="17" t="inlineStr"/>
      <c r="G12" s="17" t="inlineStr"/>
      <c r="H12" s="17" t="inlineStr"/>
    </row>
    <row r="13">
      <c r="A13" s="5" t="n">
        <v>6</v>
      </c>
      <c r="B13" s="5" t="inlineStr">
        <is>
          <t>Intro 12 (chapter1_cliffhanger)</t>
        </is>
      </c>
      <c r="C13" s="5" t="inlineStr">
        <is>
          <t>[UI]</t>
        </is>
      </c>
      <c r="D13" s="13" t="inlineStr">
        <is>
          <t>Low</t>
        </is>
      </c>
      <c r="E13" s="14" t="inlineStr">
        <is>
          <t>[UI][Intro 12] Chapter card vẫn trống, caption không phải "Chapter card 1/12 saved to your library"</t>
        </is>
      </c>
      <c r="F13" s="14" t="inlineStr">
        <is>
          <t>- Màn Intro 12 (chapter1_cliffhanger): chapter card chỉ là card tối với icon ✦, không có illustration; dòng dưới hiển thị "Your first chapter card is waiting." (Độ tin cậy thấp: ảnh chụp 1.2s sau khi vào màn, có thể card chưa flip xong.)</t>
        </is>
      </c>
      <c r="G13" s="14" t="inlineStr">
        <is>
          <t>- Brief #12: card "flips from blank to revealed with an amber glow", caption "Chapter card 1/12 saved to your library".</t>
        </is>
      </c>
      <c r="H13" s="14" t="inlineStr">
        <is>
          <t>Screenshot/Video: screens/12-chapter1_cliffhanger-small.png, screens/12-chapter1_cliffhanger-large.png</t>
        </is>
      </c>
    </row>
    <row r="14">
      <c r="A14" s="16" t="inlineStr"/>
      <c r="B14" s="16" t="inlineStr">
        <is>
          <t>Intro 13 (save_story)</t>
        </is>
      </c>
      <c r="C14" s="16" t="inlineStr"/>
      <c r="D14" s="16" t="inlineStr"/>
      <c r="E14" s="17" t="inlineStr">
        <is>
          <t>Không phát hiện lỗi</t>
        </is>
      </c>
      <c r="F14" s="17" t="inlineStr"/>
      <c r="G14" s="17" t="inlineStr"/>
      <c r="H14" s="17" t="inlineStr"/>
    </row>
    <row r="15">
      <c r="A15" s="16" t="inlineStr"/>
      <c r="B15" s="16" t="inlineStr">
        <is>
          <t>Paywall 1 (paywall)</t>
        </is>
      </c>
      <c r="C15" s="16" t="inlineStr"/>
      <c r="D15" s="16" t="inlineStr"/>
      <c r="E15" s="17" t="inlineStr">
        <is>
          <t>Không phát hiện lỗi</t>
        </is>
      </c>
      <c r="F15" s="17" t="inlineStr"/>
      <c r="G15" s="17" t="inlineStr"/>
      <c r="H15" s="17" t="inlineStr"/>
    </row>
    <row r="16">
      <c r="A16" s="5" t="n">
        <v>7</v>
      </c>
      <c r="B16" s="5" t="inlineStr">
        <is>
          <t>Paywall 2 (sale) (sale_m1)</t>
        </is>
      </c>
      <c r="C16" s="5" t="inlineStr">
        <is>
          <t>[UI][Responsive]</t>
        </is>
      </c>
      <c r="D16" s="15" t="inlineStr">
        <is>
          <t>Medium</t>
        </is>
      </c>
      <c r="E16" s="14" t="inlineStr">
        <is>
          <t>[UI][Responsive][Paywall 2] Dòng renewal trong offer card bị footer pinned cắt ở first view màn nhỏ</t>
        </is>
      </c>
      <c r="F16" s="14" t="inlineStr">
        <is>
          <t>- Màn Paywall 2 (sale_m1) ở 375×667: dòng "$22.99 for the first month, then $49.99 every month until you cancel…" dưới CTA bị cắt ngang bởi khối footer pinned ("No thanks" + Terms/Privacy), viền dưới card cũng bị cắt; phải cuộn mới đọc hết. Lặp lại ở Paywall 3 (sale_m3), Paywall 4 (sale_y12) và Paywall 5 (sale_lifetime, dòng AI disclosure bị cắt).</t>
        </is>
      </c>
      <c r="G16" s="14" t="inlineStr">
        <is>
          <t>- Điều khoản renewal cạnh CTA cần đọc được đầy đủ, không bị footer che ở first view – cần Designer confirm layout màn nhỏ.</t>
        </is>
      </c>
      <c r="H16" s="14" t="inlineStr">
        <is>
          <t>Screenshot/Video: screens/18-sale_m1-small-p1.png, screens/19-sale_m3-small-p1.png, screens/20-sale_y12-small-p1.png, screens/21-sale_lifetime-small-p1.png</t>
        </is>
      </c>
    </row>
    <row r="17">
      <c r="A17" s="16" t="inlineStr"/>
      <c r="B17" s="16" t="inlineStr">
        <is>
          <t>Paywall 3 (sale) (sale_m3)</t>
        </is>
      </c>
      <c r="C17" s="16" t="inlineStr"/>
      <c r="D17" s="16" t="inlineStr"/>
      <c r="E17" s="17" t="inlineStr">
        <is>
          <t>Không phát hiện lỗi</t>
        </is>
      </c>
      <c r="F17" s="17" t="inlineStr"/>
      <c r="G17" s="17" t="inlineStr"/>
      <c r="H17" s="17" t="inlineStr"/>
    </row>
    <row r="18">
      <c r="A18" s="16" t="inlineStr"/>
      <c r="B18" s="16" t="inlineStr">
        <is>
          <t>Paywall 4 (sale) (sale_y12)</t>
        </is>
      </c>
      <c r="C18" s="16" t="inlineStr"/>
      <c r="D18" s="16" t="inlineStr"/>
      <c r="E18" s="17" t="inlineStr">
        <is>
          <t>Không phát hiện lỗi</t>
        </is>
      </c>
      <c r="F18" s="17" t="inlineStr"/>
      <c r="G18" s="17" t="inlineStr"/>
      <c r="H18" s="17" t="inlineStr"/>
    </row>
    <row r="19">
      <c r="A19" s="16" t="inlineStr"/>
      <c r="B19" s="16" t="inlineStr">
        <is>
          <t>Paywall 5 (sale) (sale_lifetime)</t>
        </is>
      </c>
      <c r="C19" s="16" t="inlineStr"/>
      <c r="D19" s="16" t="inlineStr"/>
      <c r="E19" s="17" t="inlineStr">
        <is>
          <t>Không phát hiện lỗi</t>
        </is>
      </c>
      <c r="F19" s="17" t="inlineStr"/>
      <c r="G19" s="17" t="inlineStr"/>
      <c r="H19" s="17" t="inlineStr"/>
    </row>
    <row r="20">
      <c r="A20" s="16" t="inlineStr"/>
      <c r="B20" s="16" t="inlineStr">
        <is>
          <t>Upsale 1 (upsell_lifetime)</t>
        </is>
      </c>
      <c r="C20" s="16" t="inlineStr"/>
      <c r="D20" s="16" t="inlineStr"/>
      <c r="E20" s="17" t="inlineStr">
        <is>
          <t>Không phát hiện lỗi</t>
        </is>
      </c>
      <c r="F20" s="17" t="inlineStr"/>
      <c r="G20" s="17" t="inlineStr"/>
      <c r="H20" s="17" t="inlineStr"/>
    </row>
    <row r="21">
      <c r="A21" s="16" t="inlineStr"/>
      <c r="B21" s="16" t="inlineStr">
        <is>
          <t>Download App (get_app)</t>
        </is>
      </c>
      <c r="C21" s="16" t="inlineStr"/>
      <c r="D21" s="16" t="inlineStr"/>
      <c r="E21" s="17" t="inlineStr">
        <is>
          <t>Không phát hiện lỗi</t>
        </is>
      </c>
      <c r="F21" s="17" t="inlineStr"/>
      <c r="G21" s="17" t="inlineStr"/>
      <c r="H21" s="17" t="inlineStr"/>
    </row>
    <row r="22">
      <c r="A22" s="5" t="n">
        <v>8</v>
      </c>
      <c r="B22" s="5" t="inlineStr">
        <is>
          <t>Chapter 2 – chat trả phí (chapter2_begins) (cần confirm loại màn)</t>
        </is>
      </c>
      <c r="C22" s="5" t="inlineStr">
        <is>
          <t>[Logic]</t>
        </is>
      </c>
      <c r="D22" s="18" t="inlineStr">
        <is>
          <t>High</t>
        </is>
      </c>
      <c r="E22" s="14" t="inlineStr">
        <is>
          <t>[Logic][Chapter 2] Deep-jump vào màn chat trả phí hiển thị trạng thái ChatChi Plus, không chuyển về paywall</t>
        </is>
      </c>
      <c r="F22" s="14" t="inlineStr">
        <is>
          <t>- Mở thẳng chapter2_begins (15), nightly_reminder (16), limit_chapter_lock (17) bằng deep-jump (chưa mua): màn vẫn render, hiện "ChatChi Plus · unlimited", toast "Every chapter is unlocked. Enjoy.", composer "Reply to Kael…" và reply chips mở; landedOn = n trong capture.json. Cùng cách test, chai-short-drama redirect episode_3_and_chat về paywall. (Độ tin cậy trung bình: chưa rõ chế độ debug có tự cấp premium không.)</t>
        </is>
      </c>
      <c r="G22" s="14" t="inlineStr">
        <is>
          <t>- Brief #21/#22/#23 và product rule hard paywall: màn chỉ dành cho user trả phí; "A non-premium user who lands here by any route is sent to the paywall".</t>
        </is>
      </c>
      <c r="H22" s="14" t="inlineStr">
        <is>
          <t>Screenshot/Video: screens/15-chapter2_begins-small-p1.png, screens/16-nightly_reminder-small-p1.png, screens/17-limit_chapter_lock-small-p1.png</t>
        </is>
      </c>
    </row>
    <row r="23">
      <c r="A23" s="16" t="inlineStr"/>
      <c r="B23" s="16" t="inlineStr">
        <is>
          <t>Nightly reminder (nightly_reminder) (cần confirm loại màn)</t>
        </is>
      </c>
      <c r="C23" s="16" t="inlineStr"/>
      <c r="D23" s="16" t="inlineStr"/>
      <c r="E23" s="17" t="inlineStr">
        <is>
          <t>Không phát hiện lỗi</t>
        </is>
      </c>
      <c r="F23" s="17" t="inlineStr"/>
      <c r="G23" s="17" t="inlineStr"/>
      <c r="H23" s="17" t="inlineStr"/>
    </row>
    <row r="24">
      <c r="A24" s="16" t="inlineStr"/>
      <c r="B24" s="16" t="inlineStr">
        <is>
          <t>Limit / chapter lock (limit_chapter_lock) (cần confirm loại màn)</t>
        </is>
      </c>
      <c r="C24" s="16" t="inlineStr"/>
      <c r="D24" s="16" t="inlineStr"/>
      <c r="E24" s="17" t="inlineStr">
        <is>
          <t>Không phát hiện lỗi</t>
        </is>
      </c>
      <c r="F24" s="17" t="inlineStr"/>
      <c r="G24" s="17" t="inlineStr"/>
      <c r="H24" s="17" t="inlineStr"/>
    </row>
    <row r="25">
      <c r="A25" s="5" t="n">
        <v>9</v>
      </c>
      <c r="B25" s="5" t="inlineStr">
        <is>
          <t>Last chance offer (last_chance_offer) – màn đã tắt (cần confirm loại màn)</t>
        </is>
      </c>
      <c r="C25" s="5" t="inlineStr">
        <is>
          <t>[Logic]</t>
        </is>
      </c>
      <c r="D25" s="13" t="inlineStr">
        <is>
          <t>Low</t>
        </is>
      </c>
      <c r="E25" s="14" t="inlineStr">
        <is>
          <t>[Logic][Last chance offer] Màn offer đã tắt vẫn mở được qua deep-jump và hiển thị raw token</t>
        </is>
      </c>
      <c r="F25" s="14" t="inlineStr">
        <is>
          <t>- Deep-jump tới last_chance_offer (99): màn vẫn render "One-time offer · shown once" với raw token {{offer_badge}}, {{offer_price}}, {{offer_renews}} ở badge, price row và dòng renewal. Không xuất hiện trong walk thật (chỉ thấy qua deep-jump).</t>
        </is>
      </c>
      <c r="G25" s="14" t="inlineStr">
        <is>
          <t>- Brief Notes: "The old one-time last-chance offer (CONFIG.offer) is switched off (enabled:false) and no longer in the flow"; màn không nên mở được, hoặc không được hiển thị token chưa thay thế.</t>
        </is>
      </c>
      <c r="H25" s="14" t="inlineStr">
        <is>
          <t>Screenshot/Video: screens/99-last_chance_offer-small-p1.png, screens/99-last_chance_offer-large.png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2026-10-06T12:51:23Z</dcterms:created>
  <dcterms:modified xmlns:dcterms="http://purl.org/dc/terms/" xmlns:xsi="http://www.w3.org/2001/XMLSchema-instance" xsi:type="dcterms:W3CDTF">2026-10-06T12:51:23Z</dcterms:modified>
</cp:coreProperties>
</file>