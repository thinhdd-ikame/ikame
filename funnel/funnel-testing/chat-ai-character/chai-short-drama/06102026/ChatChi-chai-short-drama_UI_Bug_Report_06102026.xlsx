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g List" sheetId="2" state="visible" r:id="rId2"/>
  </sheets>
  <definedNames>
    <definedName name="_xlnm._FilterDatabase" localSheetId="1" hidden="1">'Bug List'!$A$1:$H$22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color rgb="00808080"/>
      <sz val="10"/>
    </font>
    <font>
      <name val="Arial"/>
      <b val="1"/>
      <sz val="14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F4B6B6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 wrapText="1"/>
    </xf>
    <xf numFmtId="0" fontId="2" fillId="6" borderId="1" pivotButton="0" quotePrefix="0" xfId="0"/>
    <xf numFmtId="0" fontId="2" fillId="0" borderId="1" pivotButton="0" quotePrefix="0" xfId="0"/>
    <xf numFmtId="0" fontId="2" fillId="7" borderId="1" pivotButton="0" quotePrefix="0" xfId="0"/>
    <xf numFmtId="0" fontId="2" fillId="4" borderId="1" pivotButton="0" quotePrefix="0" xfId="0"/>
    <xf numFmtId="0" fontId="2" fillId="3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Tổng hợp bug</t>
        </is>
      </c>
    </row>
    <row r="2">
      <c r="A2" s="2" t="inlineStr">
        <is>
          <t>Project: ChatChi – chai-short-drama</t>
        </is>
      </c>
    </row>
    <row r="3">
      <c r="A3" s="2" t="inlineStr">
        <is>
          <t>Tester: Claude Code</t>
        </is>
      </c>
    </row>
    <row r="4">
      <c r="A4" s="2" t="inlineStr">
        <is>
          <t>Ngày export: 06/10/2026</t>
        </is>
      </c>
    </row>
    <row r="6">
      <c r="A6" s="3" t="inlineStr">
        <is>
          <t>Screen</t>
        </is>
      </c>
      <c r="B6" s="3" t="inlineStr">
        <is>
          <t>[Logic]</t>
        </is>
      </c>
      <c r="C6" s="3" t="inlineStr">
        <is>
          <t>[UI/UX]</t>
        </is>
      </c>
      <c r="D6" s="3" t="inlineStr">
        <is>
          <t>[UI]</t>
        </is>
      </c>
      <c r="E6" s="3" t="inlineStr">
        <is>
          <t>[UI][Responsive]</t>
        </is>
      </c>
      <c r="F6" s="3" t="inlineStr">
        <is>
          <t>Tổng</t>
        </is>
      </c>
    </row>
    <row r="7">
      <c r="A7" s="4" t="inlineStr">
        <is>
          <t>Intro 1 (hook)</t>
        </is>
      </c>
      <c r="B7" s="5">
        <f>COUNTIFS('Bug List'!$B$2:$B$22,$A7,'Bug List'!$C$2:$C$22,B$6)</f>
        <v/>
      </c>
      <c r="C7" s="5">
        <f>COUNTIFS('Bug List'!$B$2:$B$22,$A7,'Bug List'!$C$2:$C$22,C$6)</f>
        <v/>
      </c>
      <c r="D7" s="5">
        <f>COUNTIFS('Bug List'!$B$2:$B$22,$A7,'Bug List'!$C$2:$C$22,D$6)</f>
        <v/>
      </c>
      <c r="E7" s="5">
        <f>COUNTIFS('Bug List'!$B$2:$B$22,$A7,'Bug List'!$C$2:$C$22,E$6)</f>
        <v/>
      </c>
      <c r="F7" s="5">
        <f>SUM(B7:E7)</f>
        <v/>
      </c>
    </row>
    <row r="8">
      <c r="A8" s="4" t="inlineStr">
        <is>
          <t>Intro 2 (age_gate)</t>
        </is>
      </c>
      <c r="B8" s="5">
        <f>COUNTIFS('Bug List'!$B$2:$B$22,$A8,'Bug List'!$C$2:$C$22,B$6)</f>
        <v/>
      </c>
      <c r="C8" s="5">
        <f>COUNTIFS('Bug List'!$B$2:$B$22,$A8,'Bug List'!$C$2:$C$22,C$6)</f>
        <v/>
      </c>
      <c r="D8" s="5">
        <f>COUNTIFS('Bug List'!$B$2:$B$22,$A8,'Bug List'!$C$2:$C$22,D$6)</f>
        <v/>
      </c>
      <c r="E8" s="5">
        <f>COUNTIFS('Bug List'!$B$2:$B$22,$A8,'Bug List'!$C$2:$C$22,E$6)</f>
        <v/>
      </c>
      <c r="F8" s="5">
        <f>SUM(B8:E8)</f>
        <v/>
      </c>
    </row>
    <row r="9">
      <c r="A9" s="4" t="inlineStr">
        <is>
          <t>Intro 3 (series_pick)</t>
        </is>
      </c>
      <c r="B9" s="5">
        <f>COUNTIFS('Bug List'!$B$2:$B$22,$A9,'Bug List'!$C$2:$C$22,B$6)</f>
        <v/>
      </c>
      <c r="C9" s="5">
        <f>COUNTIFS('Bug List'!$B$2:$B$22,$A9,'Bug List'!$C$2:$C$22,C$6)</f>
        <v/>
      </c>
      <c r="D9" s="5">
        <f>COUNTIFS('Bug List'!$B$2:$B$22,$A9,'Bug List'!$C$2:$C$22,D$6)</f>
        <v/>
      </c>
      <c r="E9" s="5">
        <f>COUNTIFS('Bug List'!$B$2:$B$22,$A9,'Bug List'!$C$2:$C$22,E$6)</f>
        <v/>
      </c>
      <c r="F9" s="5">
        <f>SUM(B9:E9)</f>
        <v/>
      </c>
    </row>
    <row r="10">
      <c r="A10" s="4" t="inlineStr">
        <is>
          <t>Intro 4 (your_name)</t>
        </is>
      </c>
      <c r="B10" s="5">
        <f>COUNTIFS('Bug List'!$B$2:$B$22,$A10,'Bug List'!$C$2:$C$22,B$6)</f>
        <v/>
      </c>
      <c r="C10" s="5">
        <f>COUNTIFS('Bug List'!$B$2:$B$22,$A10,'Bug List'!$C$2:$C$22,C$6)</f>
        <v/>
      </c>
      <c r="D10" s="5">
        <f>COUNTIFS('Bug List'!$B$2:$B$22,$A10,'Bug List'!$C$2:$C$22,D$6)</f>
        <v/>
      </c>
      <c r="E10" s="5">
        <f>COUNTIFS('Bug List'!$B$2:$B$22,$A10,'Bug List'!$C$2:$C$22,E$6)</f>
        <v/>
      </c>
      <c r="F10" s="5">
        <f>SUM(B10:E10)</f>
        <v/>
      </c>
    </row>
    <row r="11">
      <c r="A11" s="4" t="inlineStr">
        <is>
          <t>Intro 5 (episode_1)</t>
        </is>
      </c>
      <c r="B11" s="5">
        <f>COUNTIFS('Bug List'!$B$2:$B$22,$A11,'Bug List'!$C$2:$C$22,B$6)</f>
        <v/>
      </c>
      <c r="C11" s="5">
        <f>COUNTIFS('Bug List'!$B$2:$B$22,$A11,'Bug List'!$C$2:$C$22,C$6)</f>
        <v/>
      </c>
      <c r="D11" s="5">
        <f>COUNTIFS('Bug List'!$B$2:$B$22,$A11,'Bug List'!$C$2:$C$22,D$6)</f>
        <v/>
      </c>
      <c r="E11" s="5">
        <f>COUNTIFS('Bug List'!$B$2:$B$22,$A11,'Bug List'!$C$2:$C$22,E$6)</f>
        <v/>
      </c>
      <c r="F11" s="5">
        <f>SUM(B11:E11)</f>
        <v/>
      </c>
    </row>
    <row r="12">
      <c r="A12" s="4" t="inlineStr">
        <is>
          <t>Intro 6 (episode_2)</t>
        </is>
      </c>
      <c r="B12" s="5">
        <f>COUNTIFS('Bug List'!$B$2:$B$22,$A12,'Bug List'!$C$2:$C$22,B$6)</f>
        <v/>
      </c>
      <c r="C12" s="5">
        <f>COUNTIFS('Bug List'!$B$2:$B$22,$A12,'Bug List'!$C$2:$C$22,C$6)</f>
        <v/>
      </c>
      <c r="D12" s="5">
        <f>COUNTIFS('Bug List'!$B$2:$B$22,$A12,'Bug List'!$C$2:$C$22,D$6)</f>
        <v/>
      </c>
      <c r="E12" s="5">
        <f>COUNTIFS('Bug List'!$B$2:$B$22,$A12,'Bug List'!$C$2:$C$22,E$6)</f>
        <v/>
      </c>
      <c r="F12" s="5">
        <f>SUM(B12:E12)</f>
        <v/>
      </c>
    </row>
    <row r="13">
      <c r="A13" s="4" t="inlineStr">
        <is>
          <t>Intro 7 (cliffhanger)</t>
        </is>
      </c>
      <c r="B13" s="5">
        <f>COUNTIFS('Bug List'!$B$2:$B$22,$A13,'Bug List'!$C$2:$C$22,B$6)</f>
        <v/>
      </c>
      <c r="C13" s="5">
        <f>COUNTIFS('Bug List'!$B$2:$B$22,$A13,'Bug List'!$C$2:$C$22,C$6)</f>
        <v/>
      </c>
      <c r="D13" s="5">
        <f>COUNTIFS('Bug List'!$B$2:$B$22,$A13,'Bug List'!$C$2:$C$22,D$6)</f>
        <v/>
      </c>
      <c r="E13" s="5">
        <f>COUNTIFS('Bug List'!$B$2:$B$22,$A13,'Bug List'!$C$2:$C$22,E$6)</f>
        <v/>
      </c>
      <c r="F13" s="5">
        <f>SUM(B13:E13)</f>
        <v/>
      </c>
    </row>
    <row r="14">
      <c r="A14" s="4" t="inlineStr">
        <is>
          <t>Intro 8 (chat_turn_1)</t>
        </is>
      </c>
      <c r="B14" s="5">
        <f>COUNTIFS('Bug List'!$B$2:$B$22,$A14,'Bug List'!$C$2:$C$22,B$6)</f>
        <v/>
      </c>
      <c r="C14" s="5">
        <f>COUNTIFS('Bug List'!$B$2:$B$22,$A14,'Bug List'!$C$2:$C$22,C$6)</f>
        <v/>
      </c>
      <c r="D14" s="5">
        <f>COUNTIFS('Bug List'!$B$2:$B$22,$A14,'Bug List'!$C$2:$C$22,D$6)</f>
        <v/>
      </c>
      <c r="E14" s="5">
        <f>COUNTIFS('Bug List'!$B$2:$B$22,$A14,'Bug List'!$C$2:$C$22,E$6)</f>
        <v/>
      </c>
      <c r="F14" s="5">
        <f>SUM(B14:E14)</f>
        <v/>
      </c>
    </row>
    <row r="15">
      <c r="A15" s="4" t="inlineStr">
        <is>
          <t>Intro 9 (chat_turn_2)</t>
        </is>
      </c>
      <c r="B15" s="5">
        <f>COUNTIFS('Bug List'!$B$2:$B$22,$A15,'Bug List'!$C$2:$C$22,B$6)</f>
        <v/>
      </c>
      <c r="C15" s="5">
        <f>COUNTIFS('Bug List'!$B$2:$B$22,$A15,'Bug List'!$C$2:$C$22,C$6)</f>
        <v/>
      </c>
      <c r="D15" s="5">
        <f>COUNTIFS('Bug List'!$B$2:$B$22,$A15,'Bug List'!$C$2:$C$22,D$6)</f>
        <v/>
      </c>
      <c r="E15" s="5">
        <f>COUNTIFS('Bug List'!$B$2:$B$22,$A15,'Bug List'!$C$2:$C$22,E$6)</f>
        <v/>
      </c>
      <c r="F15" s="5">
        <f>SUM(B15:E15)</f>
        <v/>
      </c>
    </row>
    <row r="16">
      <c r="A16" s="4" t="inlineStr">
        <is>
          <t>Intro 10 (episode_3_locked)</t>
        </is>
      </c>
      <c r="B16" s="5">
        <f>COUNTIFS('Bug List'!$B$2:$B$22,$A16,'Bug List'!$C$2:$C$22,B$6)</f>
        <v/>
      </c>
      <c r="C16" s="5">
        <f>COUNTIFS('Bug List'!$B$2:$B$22,$A16,'Bug List'!$C$2:$C$22,C$6)</f>
        <v/>
      </c>
      <c r="D16" s="5">
        <f>COUNTIFS('Bug List'!$B$2:$B$22,$A16,'Bug List'!$C$2:$C$22,D$6)</f>
        <v/>
      </c>
      <c r="E16" s="5">
        <f>COUNTIFS('Bug List'!$B$2:$B$22,$A16,'Bug List'!$C$2:$C$22,E$6)</f>
        <v/>
      </c>
      <c r="F16" s="5">
        <f>SUM(B16:E16)</f>
        <v/>
      </c>
    </row>
    <row r="17">
      <c r="A17" s="4" t="inlineStr">
        <is>
          <t>Intro 11 (save_progress)</t>
        </is>
      </c>
      <c r="B17" s="5">
        <f>COUNTIFS('Bug List'!$B$2:$B$22,$A17,'Bug List'!$C$2:$C$22,B$6)</f>
        <v/>
      </c>
      <c r="C17" s="5">
        <f>COUNTIFS('Bug List'!$B$2:$B$22,$A17,'Bug List'!$C$2:$C$22,C$6)</f>
        <v/>
      </c>
      <c r="D17" s="5">
        <f>COUNTIFS('Bug List'!$B$2:$B$22,$A17,'Bug List'!$C$2:$C$22,D$6)</f>
        <v/>
      </c>
      <c r="E17" s="5">
        <f>COUNTIFS('Bug List'!$B$2:$B$22,$A17,'Bug List'!$C$2:$C$22,E$6)</f>
        <v/>
      </c>
      <c r="F17" s="5">
        <f>SUM(B17:E17)</f>
        <v/>
      </c>
    </row>
    <row r="18">
      <c r="A18" s="4" t="inlineStr">
        <is>
          <t>Paywall 1 (paywall)</t>
        </is>
      </c>
      <c r="B18" s="5">
        <f>COUNTIFS('Bug List'!$B$2:$B$22,$A18,'Bug List'!$C$2:$C$22,B$6)</f>
        <v/>
      </c>
      <c r="C18" s="5">
        <f>COUNTIFS('Bug List'!$B$2:$B$22,$A18,'Bug List'!$C$2:$C$22,C$6)</f>
        <v/>
      </c>
      <c r="D18" s="5">
        <f>COUNTIFS('Bug List'!$B$2:$B$22,$A18,'Bug List'!$C$2:$C$22,D$6)</f>
        <v/>
      </c>
      <c r="E18" s="5">
        <f>COUNTIFS('Bug List'!$B$2:$B$22,$A18,'Bug List'!$C$2:$C$22,E$6)</f>
        <v/>
      </c>
      <c r="F18" s="5">
        <f>SUM(B18:E18)</f>
        <v/>
      </c>
    </row>
    <row r="19">
      <c r="A19" s="4" t="inlineStr">
        <is>
          <t>Paywall 2 (sale) (sale_m1)</t>
        </is>
      </c>
      <c r="B19" s="5">
        <f>COUNTIFS('Bug List'!$B$2:$B$22,$A19,'Bug List'!$C$2:$C$22,B$6)</f>
        <v/>
      </c>
      <c r="C19" s="5">
        <f>COUNTIFS('Bug List'!$B$2:$B$22,$A19,'Bug List'!$C$2:$C$22,C$6)</f>
        <v/>
      </c>
      <c r="D19" s="5">
        <f>COUNTIFS('Bug List'!$B$2:$B$22,$A19,'Bug List'!$C$2:$C$22,D$6)</f>
        <v/>
      </c>
      <c r="E19" s="5">
        <f>COUNTIFS('Bug List'!$B$2:$B$22,$A19,'Bug List'!$C$2:$C$22,E$6)</f>
        <v/>
      </c>
      <c r="F19" s="5">
        <f>SUM(B19:E19)</f>
        <v/>
      </c>
    </row>
    <row r="20">
      <c r="A20" s="4" t="inlineStr">
        <is>
          <t>Paywall 3 (sale) (sale_m3)</t>
        </is>
      </c>
      <c r="B20" s="5">
        <f>COUNTIFS('Bug List'!$B$2:$B$22,$A20,'Bug List'!$C$2:$C$22,B$6)</f>
        <v/>
      </c>
      <c r="C20" s="5">
        <f>COUNTIFS('Bug List'!$B$2:$B$22,$A20,'Bug List'!$C$2:$C$22,C$6)</f>
        <v/>
      </c>
      <c r="D20" s="5">
        <f>COUNTIFS('Bug List'!$B$2:$B$22,$A20,'Bug List'!$C$2:$C$22,D$6)</f>
        <v/>
      </c>
      <c r="E20" s="5">
        <f>COUNTIFS('Bug List'!$B$2:$B$22,$A20,'Bug List'!$C$2:$C$22,E$6)</f>
        <v/>
      </c>
      <c r="F20" s="5">
        <f>SUM(B20:E20)</f>
        <v/>
      </c>
    </row>
    <row r="21">
      <c r="A21" s="4" t="inlineStr">
        <is>
          <t>Paywall 4 (sale) (sale_y12)</t>
        </is>
      </c>
      <c r="B21" s="5">
        <f>COUNTIFS('Bug List'!$B$2:$B$22,$A21,'Bug List'!$C$2:$C$22,B$6)</f>
        <v/>
      </c>
      <c r="C21" s="5">
        <f>COUNTIFS('Bug List'!$B$2:$B$22,$A21,'Bug List'!$C$2:$C$22,C$6)</f>
        <v/>
      </c>
      <c r="D21" s="5">
        <f>COUNTIFS('Bug List'!$B$2:$B$22,$A21,'Bug List'!$C$2:$C$22,D$6)</f>
        <v/>
      </c>
      <c r="E21" s="5">
        <f>COUNTIFS('Bug List'!$B$2:$B$22,$A21,'Bug List'!$C$2:$C$22,E$6)</f>
        <v/>
      </c>
      <c r="F21" s="5">
        <f>SUM(B21:E21)</f>
        <v/>
      </c>
    </row>
    <row r="22">
      <c r="A22" s="4" t="inlineStr">
        <is>
          <t>Paywall 5 (sale) (sale_lifetime)</t>
        </is>
      </c>
      <c r="B22" s="5">
        <f>COUNTIFS('Bug List'!$B$2:$B$22,$A22,'Bug List'!$C$2:$C$22,B$6)</f>
        <v/>
      </c>
      <c r="C22" s="5">
        <f>COUNTIFS('Bug List'!$B$2:$B$22,$A22,'Bug List'!$C$2:$C$22,C$6)</f>
        <v/>
      </c>
      <c r="D22" s="5">
        <f>COUNTIFS('Bug List'!$B$2:$B$22,$A22,'Bug List'!$C$2:$C$22,D$6)</f>
        <v/>
      </c>
      <c r="E22" s="5">
        <f>COUNTIFS('Bug List'!$B$2:$B$22,$A22,'Bug List'!$C$2:$C$22,E$6)</f>
        <v/>
      </c>
      <c r="F22" s="5">
        <f>SUM(B22:E22)</f>
        <v/>
      </c>
    </row>
    <row r="23">
      <c r="A23" s="4" t="inlineStr">
        <is>
          <t>Upsale 1 (upsell_lifetime)</t>
        </is>
      </c>
      <c r="B23" s="5">
        <f>COUNTIFS('Bug List'!$B$2:$B$22,$A23,'Bug List'!$C$2:$C$22,B$6)</f>
        <v/>
      </c>
      <c r="C23" s="5">
        <f>COUNTIFS('Bug List'!$B$2:$B$22,$A23,'Bug List'!$C$2:$C$22,C$6)</f>
        <v/>
      </c>
      <c r="D23" s="5">
        <f>COUNTIFS('Bug List'!$B$2:$B$22,$A23,'Bug List'!$C$2:$C$22,D$6)</f>
        <v/>
      </c>
      <c r="E23" s="5">
        <f>COUNTIFS('Bug List'!$B$2:$B$22,$A23,'Bug List'!$C$2:$C$22,E$6)</f>
        <v/>
      </c>
      <c r="F23" s="5">
        <f>SUM(B23:E23)</f>
        <v/>
      </c>
    </row>
    <row r="24">
      <c r="A24" s="4" t="inlineStr">
        <is>
          <t>Download App (get_app)</t>
        </is>
      </c>
      <c r="B24" s="5">
        <f>COUNTIFS('Bug List'!$B$2:$B$22,$A24,'Bug List'!$C$2:$C$22,B$6)</f>
        <v/>
      </c>
      <c r="C24" s="5">
        <f>COUNTIFS('Bug List'!$B$2:$B$22,$A24,'Bug List'!$C$2:$C$22,C$6)</f>
        <v/>
      </c>
      <c r="D24" s="5">
        <f>COUNTIFS('Bug List'!$B$2:$B$22,$A24,'Bug List'!$C$2:$C$22,D$6)</f>
        <v/>
      </c>
      <c r="E24" s="5">
        <f>COUNTIFS('Bug List'!$B$2:$B$22,$A24,'Bug List'!$C$2:$C$22,E$6)</f>
        <v/>
      </c>
      <c r="F24" s="5">
        <f>SUM(B24:E24)</f>
        <v/>
      </c>
    </row>
    <row r="25">
      <c r="A25" s="4" t="inlineStr">
        <is>
          <t>Last chance offer (last_chance_offer) – màn đã tắt (cần confirm loại màn)</t>
        </is>
      </c>
      <c r="B25" s="5">
        <f>COUNTIFS('Bug List'!$B$2:$B$22,$A25,'Bug List'!$C$2:$C$22,B$6)</f>
        <v/>
      </c>
      <c r="C25" s="5">
        <f>COUNTIFS('Bug List'!$B$2:$B$22,$A25,'Bug List'!$C$2:$C$22,C$6)</f>
        <v/>
      </c>
      <c r="D25" s="5">
        <f>COUNTIFS('Bug List'!$B$2:$B$22,$A25,'Bug List'!$C$2:$C$22,D$6)</f>
        <v/>
      </c>
      <c r="E25" s="5">
        <f>COUNTIFS('Bug List'!$B$2:$B$22,$A25,'Bug List'!$C$2:$C$22,E$6)</f>
        <v/>
      </c>
      <c r="F25" s="5">
        <f>SUM(B25:E25)</f>
        <v/>
      </c>
    </row>
    <row r="26">
      <c r="A26" s="6" t="inlineStr">
        <is>
          <t>Tổng</t>
        </is>
      </c>
      <c r="B26" s="7">
        <f>SUM(B7:B25)</f>
        <v/>
      </c>
      <c r="C26" s="7">
        <f>SUM(C7:C25)</f>
        <v/>
      </c>
      <c r="D26" s="7">
        <f>SUM(D7:D25)</f>
        <v/>
      </c>
      <c r="E26" s="7">
        <f>SUM(E7:E25)</f>
        <v/>
      </c>
      <c r="F26" s="7">
        <f>SUM(F7:F25)</f>
        <v/>
      </c>
    </row>
    <row r="28">
      <c r="A28" s="3" t="inlineStr">
        <is>
          <t>Severity</t>
        </is>
      </c>
      <c r="B28" s="3" t="inlineStr">
        <is>
          <t>Số bug</t>
        </is>
      </c>
    </row>
    <row r="29">
      <c r="A29" s="8" t="inlineStr">
        <is>
          <t>Critical</t>
        </is>
      </c>
      <c r="B29" s="9">
        <f>COUNTIF('Bug List'!$D$2:$D$22,A29)</f>
        <v/>
      </c>
    </row>
    <row r="30">
      <c r="A30" s="10" t="inlineStr">
        <is>
          <t>High</t>
        </is>
      </c>
      <c r="B30" s="9">
        <f>COUNTIF('Bug List'!$D$2:$D$22,A30)</f>
        <v/>
      </c>
    </row>
    <row r="31">
      <c r="A31" s="11" t="inlineStr">
        <is>
          <t>Medium</t>
        </is>
      </c>
      <c r="B31" s="9">
        <f>COUNTIF('Bug List'!$D$2:$D$22,A31)</f>
        <v/>
      </c>
    </row>
    <row r="32">
      <c r="A32" s="12" t="inlineStr">
        <is>
          <t>Low</t>
        </is>
      </c>
      <c r="B32" s="9">
        <f>COUNTIF('Bug List'!$D$2:$D$22,A32)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3" customWidth="1" min="3" max="3"/>
    <col width="10" customWidth="1" min="4" max="4"/>
    <col width="45" customWidth="1" min="5" max="5"/>
    <col width="50" customWidth="1" min="6" max="6"/>
    <col width="50" customWidth="1" min="7" max="7"/>
    <col width="26" customWidth="1" min="8" max="8"/>
  </cols>
  <sheetData>
    <row r="1">
      <c r="A1" s="3" t="inlineStr">
        <is>
          <t>#</t>
        </is>
      </c>
      <c r="B1" s="3" t="inlineStr">
        <is>
          <t>Screen</t>
        </is>
      </c>
      <c r="C1" s="3" t="inlineStr">
        <is>
          <t>Bug Type</t>
        </is>
      </c>
      <c r="D1" s="3" t="inlineStr">
        <is>
          <t>Severity</t>
        </is>
      </c>
      <c r="E1" s="3" t="inlineStr">
        <is>
          <t>Title</t>
        </is>
      </c>
      <c r="F1" s="3" t="inlineStr">
        <is>
          <t>Actual Result</t>
        </is>
      </c>
      <c r="G1" s="3" t="inlineStr">
        <is>
          <t>Expected Result</t>
        </is>
      </c>
      <c r="H1" s="3" t="inlineStr">
        <is>
          <t>Attachment</t>
        </is>
      </c>
    </row>
    <row r="2">
      <c r="A2" s="13" t="inlineStr"/>
      <c r="B2" s="13" t="inlineStr">
        <is>
          <t>Intro 1 (hook)</t>
        </is>
      </c>
      <c r="C2" s="13" t="inlineStr"/>
      <c r="D2" s="13" t="inlineStr"/>
      <c r="E2" s="14" t="inlineStr">
        <is>
          <t>Không phát hiện lỗi</t>
        </is>
      </c>
      <c r="F2" s="14" t="inlineStr"/>
      <c r="G2" s="14" t="inlineStr"/>
      <c r="H2" s="14" t="inlineStr"/>
    </row>
    <row r="3">
      <c r="A3" s="5" t="n">
        <v>1</v>
      </c>
      <c r="B3" s="5" t="inlineStr">
        <is>
          <t>Intro 2 (age_gate)</t>
        </is>
      </c>
      <c r="C3" s="5" t="inlineStr">
        <is>
          <t>[UI/UX]</t>
        </is>
      </c>
      <c r="D3" s="15" t="inlineStr">
        <is>
          <t>Low</t>
        </is>
      </c>
      <c r="E3" s="16" t="inlineStr">
        <is>
          <t>[UI/UX][Intro 2] Link Terms of Service / Privacy Policy có tap target nhỏ</t>
        </is>
      </c>
      <c r="F3" s="16" t="inlineStr">
        <is>
          <t>- Màn Intro 2 (age_gate): link "Terms of Service" (93×14px) và "Privacy Policy" (76×14px) có vùng bấm cao 14px (auto-check). Lặp lại ở Intro 11 (save_progress: "Terms" 34×14, "Privacy" 40×14), Paywall 1 (paywall: "Terms of Use", "Privacy Policy", "support@chatchi.co" 110×14), Paywall 2–5 (sale_m1/m3/y12/lifetime), Upsale 1 (upsell_lifetime) và last_chance_offer.</t>
        </is>
      </c>
      <c r="G3" s="16" t="inlineStr">
        <is>
          <t>- Tap target tối thiểu 44pt theo Apple HIG – cần Designer confirm.</t>
        </is>
      </c>
      <c r="H3" s="16" t="inlineStr">
        <is>
          <t>Screenshot/Video: screens/02-age_gate-small.png, screens/11-save_progress-small.png, screens/12-paywall-small-p6.png, screens/19-upsell_lifetime-small.png</t>
        </is>
      </c>
    </row>
    <row r="4">
      <c r="A4" s="5" t="n">
        <v>2</v>
      </c>
      <c r="B4" s="5" t="inlineStr">
        <is>
          <t>Intro 3 (series_pick)</t>
        </is>
      </c>
      <c r="C4" s="5" t="inlineStr">
        <is>
          <t>[UI]</t>
        </is>
      </c>
      <c r="D4" s="15" t="inlineStr">
        <is>
          <t>Low</t>
        </is>
      </c>
      <c r="E4" s="16" t="inlineStr">
        <is>
          <t>[UI][Intro 3] Lead "NORA · a detective" nhưng poster Night Shift là nhân vật nam</t>
        </is>
      </c>
      <c r="F4" s="16" t="inlineStr">
        <is>
          <t>- Màn Intro 3 (series_pick): card Night Shift ghi lead "NORA · a detective" nhưng ảnh poster (và frame giữa ở Intro 1) là một người đàn ông mặc trench coat, khiến tên lead và hình không khớp.</t>
        </is>
      </c>
      <c r="G4" s="16" t="inlineStr">
        <is>
          <t>- Spec chưa định nghĩa giới tính/ngoại hình của Nora – cần PM/Designer confirm poster khớp với lead.</t>
        </is>
      </c>
      <c r="H4" s="16" t="inlineStr">
        <is>
          <t>Screenshot/Video: screens/03-series_pick-small.png, screens/01-hook-small.png</t>
        </is>
      </c>
    </row>
    <row r="5">
      <c r="A5" s="5" t="n">
        <v>3</v>
      </c>
      <c r="B5" s="5" t="inlineStr">
        <is>
          <t>Intro 4 (your_name)</t>
        </is>
      </c>
      <c r="C5" s="5" t="inlineStr">
        <is>
          <t>[UI]</t>
        </is>
      </c>
      <c r="D5" s="15" t="inlineStr">
        <is>
          <t>Low</t>
        </is>
      </c>
      <c r="E5" s="16" t="inlineStr">
        <is>
          <t>[UI][Intro 4] Header ghi "Your series" trên màn nhập tên</t>
        </is>
      </c>
      <c r="F5" s="16" t="inlineStr">
        <is>
          <t>- Màn Intro 4 (your_name): top bar vẫn hiển thị title "Your series" (giống Intro 3) trong khi nội dung là "What should they call you?".</t>
        </is>
      </c>
      <c r="G5" s="16" t="inlineStr">
        <is>
          <t>- Spec chưa định nghĩa title top bar cho màn này – cần PM/Designer confirm (title cần khớp nội dung màn).</t>
        </is>
      </c>
      <c r="H5" s="16" t="inlineStr">
        <is>
          <t>Screenshot/Video: screens/04-your_name-small.png, screens/04-your_name-large.png</t>
        </is>
      </c>
    </row>
    <row r="6">
      <c r="A6" s="5" t="n">
        <v>4</v>
      </c>
      <c r="B6" s="5" t="inlineStr">
        <is>
          <t>Intro 4 (your_name)</t>
        </is>
      </c>
      <c r="C6" s="5" t="inlineStr">
        <is>
          <t>[UI]</t>
        </is>
      </c>
      <c r="D6" s="17" t="inlineStr">
        <is>
          <t>Medium</t>
        </is>
      </c>
      <c r="E6" s="16" t="inlineStr">
        <is>
          <t>[UI][Intro 4] Avatar của lead là emoji áo khoác placeholder thay vì portrait</t>
        </is>
      </c>
      <c r="F6" s="16" t="inlineStr">
        <is>
          <t>- Màn Intro 4 (your_name): vòng tròn avatar hiển thị emoji 🧥 trên nền tối thay vì portrait của Leo. Cùng avatar emoji này lặp lại ở Intro 7 (cliffhanger, "Leo is typing…"), Intro 8–9 (header chat), Paywall 1 (tease quote) và last_chance_offer.</t>
        </is>
      </c>
      <c r="G6" s="16" t="inlineStr">
        <is>
          <t>- Brief #4: "the lead's portrait blurred behind"; Brief #7: "the lead portrait sliding out of it".</t>
        </is>
      </c>
      <c r="H6" s="16" t="inlineStr">
        <is>
          <t>Screenshot/Video: screens/04-your_name-small.png, screens/07-cliffhanger-small.png, screens/08-chat_turn_1-small.png, screens/12-paywall-small-p1.png</t>
        </is>
      </c>
    </row>
    <row r="7">
      <c r="A7" s="13" t="inlineStr"/>
      <c r="B7" s="13" t="inlineStr">
        <is>
          <t>Intro 5 (episode_1)</t>
        </is>
      </c>
      <c r="C7" s="13" t="inlineStr"/>
      <c r="D7" s="13" t="inlineStr"/>
      <c r="E7" s="14" t="inlineStr">
        <is>
          <t>Không phát hiện lỗi</t>
        </is>
      </c>
      <c r="F7" s="14" t="inlineStr"/>
      <c r="G7" s="14" t="inlineStr"/>
      <c r="H7" s="14" t="inlineStr"/>
    </row>
    <row r="8">
      <c r="A8" s="5" t="n">
        <v>5</v>
      </c>
      <c r="B8" s="5" t="inlineStr">
        <is>
          <t>Intro 6 (episode_2)</t>
        </is>
      </c>
      <c r="C8" s="5" t="inlineStr">
        <is>
          <t>[UI]</t>
        </is>
      </c>
      <c r="D8" s="15" t="inlineStr">
        <is>
          <t>Low</t>
        </is>
      </c>
      <c r="E8" s="16" t="inlineStr">
        <is>
          <t>[UI][Intro 6] Episode 2 dùng lại đúng artwork của Episode 1</t>
        </is>
      </c>
      <c r="F8" s="16" t="inlineStr">
        <is>
          <t>- Màn Intro 6 (episode_2): slide hiển thị cùng một ảnh terrace/bàn nến như Episode 1 (Intro 5), không thấy khác biệt về grade; chỉ caption thay đổi.</t>
        </is>
      </c>
      <c r="G8" s="16" t="inlineStr">
        <is>
          <t>- Brief #6: "Same story frame, 3 slides, darker grade" – cần Designer confirm artwork/grade riêng cho Episode 2.</t>
        </is>
      </c>
      <c r="H8" s="16" t="inlineStr">
        <is>
          <t>Screenshot/Video: screens/06-episode_2-small.png, screens/05-episode_1-small.png</t>
        </is>
      </c>
    </row>
    <row r="9">
      <c r="A9" s="13" t="inlineStr"/>
      <c r="B9" s="13" t="inlineStr">
        <is>
          <t>Intro 7 (cliffhanger)</t>
        </is>
      </c>
      <c r="C9" s="13" t="inlineStr"/>
      <c r="D9" s="13" t="inlineStr"/>
      <c r="E9" s="14" t="inlineStr">
        <is>
          <t>Không phát hiện lỗi</t>
        </is>
      </c>
      <c r="F9" s="14" t="inlineStr"/>
      <c r="G9" s="14" t="inlineStr"/>
      <c r="H9" s="14" t="inlineStr"/>
    </row>
    <row r="10">
      <c r="A10" s="13" t="inlineStr"/>
      <c r="B10" s="13" t="inlineStr">
        <is>
          <t>Intro 8 (chat_turn_1)</t>
        </is>
      </c>
      <c r="C10" s="13" t="inlineStr"/>
      <c r="D10" s="13" t="inlineStr"/>
      <c r="E10" s="14" t="inlineStr">
        <is>
          <t>Không phát hiện lỗi</t>
        </is>
      </c>
      <c r="F10" s="14" t="inlineStr"/>
      <c r="G10" s="14" t="inlineStr"/>
      <c r="H10" s="14" t="inlineStr"/>
    </row>
    <row r="11">
      <c r="A11" s="5" t="n">
        <v>6</v>
      </c>
      <c r="B11" s="5" t="inlineStr">
        <is>
          <t>Intro 9 (chat_turn_2)</t>
        </is>
      </c>
      <c r="C11" s="5" t="inlineStr">
        <is>
          <t>[Logic]</t>
        </is>
      </c>
      <c r="D11" s="17" t="inlineStr">
        <is>
          <t>Medium</t>
        </is>
      </c>
      <c r="E11" s="16" t="inlineStr">
        <is>
          <t>[Logic][Intro 9] Counter vẫn "2 messages left" sau khi user đã gửi 1 message</t>
        </is>
      </c>
      <c r="F11" s="16" t="inlineStr">
        <is>
          <t>- Màn Intro 9 (chat_turn_2): thread đã có 1 message của user ("Ask about the key") và reply của Leo, nhưng composer vẫn hiển thị "Free preview · 2 messages left". (Chụp qua deep-jump có seed data – cần verify lại trên walk thật.)</t>
        </is>
      </c>
      <c r="G11" s="16" t="inlineStr">
        <is>
          <t>- Brief #9: "Counter drops 2 to 0 over the two turns"; sau message thứ nhất counter cần là 1 message left.</t>
        </is>
      </c>
      <c r="H11" s="16" t="inlineStr">
        <is>
          <t>Screenshot/Video: screens/09-chat_turn_2-small.png, screens/09-chat_turn_2-large.png</t>
        </is>
      </c>
    </row>
    <row r="12">
      <c r="A12" s="5" t="n">
        <v>7</v>
      </c>
      <c r="B12" s="5" t="inlineStr">
        <is>
          <t>Intro 9 (chat_turn_2)</t>
        </is>
      </c>
      <c r="C12" s="5" t="inlineStr">
        <is>
          <t>[UI][Responsive]</t>
        </is>
      </c>
      <c r="D12" s="15" t="inlineStr">
        <is>
          <t>Low</t>
        </is>
      </c>
      <c r="E12" s="16" t="inlineStr">
        <is>
          <t>[UI][Responsive][Intro 9] Reply chip "Walk away" bị cắt ngoài mép phải ở màn nhỏ</t>
        </is>
      </c>
      <c r="F12" s="16" t="inlineStr">
        <is>
          <t>- Màn Intro 9 (chat_turn_2) ở 375×667: 3 reply chip xếp thành 1 hàng ngang, chip "🚪 Walk away" bị cắt ngoài mép phải (chỉ thấy "Wa"), không có dấu hiệu cuộn ngang. Ở 430×932 3 chip xếp dọc và hiển thị đầy đủ.</t>
        </is>
      </c>
      <c r="G12" s="16" t="inlineStr">
        <is>
          <t>- Reply chip cần hiển thị đủ hoặc có affordance cuộn rõ ràng, nhất quán giữa các viewport – cần Designer confirm.</t>
        </is>
      </c>
      <c r="H12" s="16" t="inlineStr">
        <is>
          <t>Screenshot/Video: screens/09-chat_turn_2-small.png, screens/09-chat_turn_2-large.png</t>
        </is>
      </c>
    </row>
    <row r="13">
      <c r="A13" s="5" t="n">
        <v>8</v>
      </c>
      <c r="B13" s="5" t="inlineStr">
        <is>
          <t>Intro 10 (episode_3_locked)</t>
        </is>
      </c>
      <c r="C13" s="5" t="inlineStr">
        <is>
          <t>[UI]</t>
        </is>
      </c>
      <c r="D13" s="17" t="inlineStr">
        <is>
          <t>Medium</t>
        </is>
      </c>
      <c r="E13" s="16" t="inlineStr">
        <is>
          <t>[UI][Intro 10] Toast "Leo remembers…" che headline "Episode 3 is locked." và logo màn email</t>
        </is>
      </c>
      <c r="F13" s="16" t="inlineStr">
        <is>
          <t>- Khi vào Intro 10 (episode_3_locked), toast "Leo remembers: the navy suit, the brass key" vẫn hiển thị ở đầu màn và che gần hết headline "Episode 3 is locked." ở cả 375 và 430. Ở Intro 11 (save_progress) toast này tiếp tục đè lên logo ChatChi.</t>
        </is>
      </c>
      <c r="G13" s="16" t="inlineStr">
        <is>
          <t>- Toast của màn chat không được che headline/logo của màn sau; headline Brief #10 "Episode 3 is locked." cần đọc được ngay khi vào màn.</t>
        </is>
      </c>
      <c r="H13" s="16" t="inlineStr">
        <is>
          <t>Screenshot/Video: screens/10-episode_3_locked-small.png, screens/10-episode_3_locked-large.png, screens/11-save_progress-small.png</t>
        </is>
      </c>
    </row>
    <row r="14">
      <c r="A14" s="13" t="inlineStr"/>
      <c r="B14" s="13" t="inlineStr">
        <is>
          <t>Intro 11 (save_progress)</t>
        </is>
      </c>
      <c r="C14" s="13" t="inlineStr"/>
      <c r="D14" s="13" t="inlineStr"/>
      <c r="E14" s="14" t="inlineStr">
        <is>
          <t>Không phát hiện lỗi</t>
        </is>
      </c>
      <c r="F14" s="14" t="inlineStr"/>
      <c r="G14" s="14" t="inlineStr"/>
      <c r="H14" s="14" t="inlineStr"/>
    </row>
    <row r="15">
      <c r="A15" s="5" t="n">
        <v>9</v>
      </c>
      <c r="B15" s="5" t="inlineStr">
        <is>
          <t>Paywall 1 (paywall)</t>
        </is>
      </c>
      <c r="C15" s="5" t="inlineStr">
        <is>
          <t>[UI]</t>
        </is>
      </c>
      <c r="D15" s="17" t="inlineStr">
        <is>
          <t>Medium</t>
        </is>
      </c>
      <c r="E15" s="16" t="inlineStr">
        <is>
          <t>[UI][Paywall 1] Dòng plan/giá của sticky bottom CTA không có nền, chồng lên nội dung trang</t>
        </is>
      </c>
      <c r="F15" s="16" t="inlineStr">
        <is>
          <t>- Màn Paywall 1 (paywall): khi sticky bottom bar hiện, dòng "12 months … $119.99 today" phía trên button "Unlock Episode 3" nằm trực tiếp trên nội dung và chồng chữ với eyebrow "CHOOSE YOUR PLAN", text step 3 "Episode 3 and Leo are waiting, with Plus already on", card FAQ "Is it explicit?" và tiles "Why go Plus". Thấy ở 375, 430 và cả walk thật.</t>
        </is>
      </c>
      <c r="G15" s="16" t="inlineStr">
        <is>
          <t>- Brief #12 (11): sticky bottom CTA "{{plan}} · {{price}} today" + "Unlock Episode 3" không được che/chồng nội dung – cần Designer confirm nền cho cả cụm sticky bar.</t>
        </is>
      </c>
      <c r="H15" s="16" t="inlineStr">
        <is>
          <t>Screenshot/Video: screens/12-paywall-small-p1.png, screens/12-paywall-small-p3.png, screens/12-paywall-small-p4.png, screens/12-paywall-large-p3.png, screens/walk-end-paywall (paywall).png</t>
        </is>
      </c>
    </row>
    <row r="16">
      <c r="A16" s="13" t="inlineStr"/>
      <c r="B16" s="13" t="inlineStr">
        <is>
          <t>Paywall 2 (sale) (sale_m1)</t>
        </is>
      </c>
      <c r="C16" s="13" t="inlineStr"/>
      <c r="D16" s="13" t="inlineStr"/>
      <c r="E16" s="14" t="inlineStr">
        <is>
          <t>Không phát hiện lỗi</t>
        </is>
      </c>
      <c r="F16" s="14" t="inlineStr"/>
      <c r="G16" s="14" t="inlineStr"/>
      <c r="H16" s="14" t="inlineStr"/>
    </row>
    <row r="17">
      <c r="A17" s="13" t="inlineStr"/>
      <c r="B17" s="13" t="inlineStr">
        <is>
          <t>Paywall 3 (sale) (sale_m3)</t>
        </is>
      </c>
      <c r="C17" s="13" t="inlineStr"/>
      <c r="D17" s="13" t="inlineStr"/>
      <c r="E17" s="14" t="inlineStr">
        <is>
          <t>Không phát hiện lỗi</t>
        </is>
      </c>
      <c r="F17" s="14" t="inlineStr"/>
      <c r="G17" s="14" t="inlineStr"/>
      <c r="H17" s="14" t="inlineStr"/>
    </row>
    <row r="18">
      <c r="A18" s="13" t="inlineStr"/>
      <c r="B18" s="13" t="inlineStr">
        <is>
          <t>Paywall 4 (sale) (sale_y12)</t>
        </is>
      </c>
      <c r="C18" s="13" t="inlineStr"/>
      <c r="D18" s="13" t="inlineStr"/>
      <c r="E18" s="14" t="inlineStr">
        <is>
          <t>Không phát hiện lỗi</t>
        </is>
      </c>
      <c r="F18" s="14" t="inlineStr"/>
      <c r="G18" s="14" t="inlineStr"/>
      <c r="H18" s="14" t="inlineStr"/>
    </row>
    <row r="19">
      <c r="A19" s="13" t="inlineStr"/>
      <c r="B19" s="13" t="inlineStr">
        <is>
          <t>Paywall 5 (sale) (sale_lifetime)</t>
        </is>
      </c>
      <c r="C19" s="13" t="inlineStr"/>
      <c r="D19" s="13" t="inlineStr"/>
      <c r="E19" s="14" t="inlineStr">
        <is>
          <t>Không phát hiện lỗi</t>
        </is>
      </c>
      <c r="F19" s="14" t="inlineStr"/>
      <c r="G19" s="14" t="inlineStr"/>
      <c r="H19" s="14" t="inlineStr"/>
    </row>
    <row r="20">
      <c r="A20" s="13" t="inlineStr"/>
      <c r="B20" s="13" t="inlineStr">
        <is>
          <t>Upsale 1 (upsell_lifetime)</t>
        </is>
      </c>
      <c r="C20" s="13" t="inlineStr"/>
      <c r="D20" s="13" t="inlineStr"/>
      <c r="E20" s="14" t="inlineStr">
        <is>
          <t>Không phát hiện lỗi</t>
        </is>
      </c>
      <c r="F20" s="14" t="inlineStr"/>
      <c r="G20" s="14" t="inlineStr"/>
      <c r="H20" s="14" t="inlineStr"/>
    </row>
    <row r="21">
      <c r="A21" s="13" t="inlineStr"/>
      <c r="B21" s="13" t="inlineStr">
        <is>
          <t>Download App (get_app)</t>
        </is>
      </c>
      <c r="C21" s="13" t="inlineStr"/>
      <c r="D21" s="13" t="inlineStr"/>
      <c r="E21" s="14" t="inlineStr">
        <is>
          <t>Không phát hiện lỗi</t>
        </is>
      </c>
      <c r="F21" s="14" t="inlineStr"/>
      <c r="G21" s="14" t="inlineStr"/>
      <c r="H21" s="14" t="inlineStr"/>
    </row>
    <row r="22">
      <c r="A22" s="5" t="n">
        <v>10</v>
      </c>
      <c r="B22" s="5" t="inlineStr">
        <is>
          <t>Last chance offer (last_chance_offer) – màn đã tắt (cần confirm loại màn)</t>
        </is>
      </c>
      <c r="C22" s="5" t="inlineStr">
        <is>
          <t>[Logic]</t>
        </is>
      </c>
      <c r="D22" s="15" t="inlineStr">
        <is>
          <t>Low</t>
        </is>
      </c>
      <c r="E22" s="16" t="inlineStr">
        <is>
          <t>[Logic][Last chance offer] Màn Series pass đã retire vẫn mở được qua deep-jump và hiển thị raw token</t>
        </is>
      </c>
      <c r="F22" s="16" t="inlineStr">
        <is>
          <t>- Deep-jump tới last_chance_offer (99): màn "Just want this series?" / "Series pass" vẫn render, price row và fine print hiển thị raw token {{offer_price}}. Không xuất hiện trong walk thật.</t>
        </is>
      </c>
      <c r="G22" s="16" t="inlineStr">
        <is>
          <t>- Brief #16: "The old one-time series pass offer is retired (CONFIG.offer.enabled: false)"; màn không nên mở được, hoặc không được hiển thị token chưa thay thế.</t>
        </is>
      </c>
      <c r="H22" s="16" t="inlineStr">
        <is>
          <t>Screenshot/Video: screens/99-last_chance_offer-small-p1.png, screens/99-last_chance_offer-large.png</t>
        </is>
      </c>
    </row>
  </sheetData>
  <autoFilter ref="A1:H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2026-10-06T12:51:24Z</dcterms:created>
  <dcterms:modified xmlns:dcterms="http://purl.org/dc/terms/" xmlns:xsi="http://www.w3.org/2001/XMLSchema-instance" xsi:type="dcterms:W3CDTF">2026-10-06T12:51:24Z</dcterms:modified>
</cp:coreProperties>
</file>