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4B6B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2" fillId="0" borderId="1" pivotButton="0" quotePrefix="0" xfId="0"/>
    <xf numFmtId="0" fontId="2" fillId="7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Tổng hợp bug</t>
        </is>
      </c>
    </row>
    <row r="2">
      <c r="A2" s="2" t="inlineStr">
        <is>
          <t>Project: ChatChi – chai-companion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[UI/UX]</t>
        </is>
      </c>
      <c r="C6" s="3" t="inlineStr">
        <is>
          <t>[UI/UX][Responsive]</t>
        </is>
      </c>
      <c r="D6" s="3" t="inlineStr">
        <is>
          <t>[UI]</t>
        </is>
      </c>
      <c r="E6" s="3" t="inlineStr">
        <is>
          <t>[UI][Responsive]</t>
        </is>
      </c>
      <c r="F6" s="3" t="inlineStr">
        <is>
          <t>Tổng</t>
        </is>
      </c>
    </row>
    <row r="7">
      <c r="A7" s="4" t="inlineStr">
        <is>
          <t>Intro 1 (hook_age_check)</t>
        </is>
      </c>
      <c r="B7" s="5">
        <f>COUNTIFS('Bug List'!$B$2:$B$27,$A7,'Bug List'!$C$2:$C$27,B$6)</f>
        <v/>
      </c>
      <c r="C7" s="5">
        <f>COUNTIFS('Bug List'!$B$2:$B$27,$A7,'Bug List'!$C$2:$C$27,C$6)</f>
        <v/>
      </c>
      <c r="D7" s="5">
        <f>COUNTIFS('Bug List'!$B$2:$B$27,$A7,'Bug List'!$C$2:$C$27,D$6)</f>
        <v/>
      </c>
      <c r="E7" s="5">
        <f>COUNTIFS('Bug List'!$B$2:$B$27,$A7,'Bug List'!$C$2:$C$27,E$6)</f>
        <v/>
      </c>
      <c r="F7" s="5">
        <f>SUM(B7:E7)</f>
        <v/>
      </c>
    </row>
    <row r="8">
      <c r="A8" s="4" t="inlineStr">
        <is>
          <t>Intro 2 (mood)</t>
        </is>
      </c>
      <c r="B8" s="5">
        <f>COUNTIFS('Bug List'!$B$2:$B$27,$A8,'Bug List'!$C$2:$C$27,B$6)</f>
        <v/>
      </c>
      <c r="C8" s="5">
        <f>COUNTIFS('Bug List'!$B$2:$B$27,$A8,'Bug List'!$C$2:$C$27,C$6)</f>
        <v/>
      </c>
      <c r="D8" s="5">
        <f>COUNTIFS('Bug List'!$B$2:$B$27,$A8,'Bug List'!$C$2:$C$27,D$6)</f>
        <v/>
      </c>
      <c r="E8" s="5">
        <f>COUNTIFS('Bug List'!$B$2:$B$27,$A8,'Bug List'!$C$2:$C$27,E$6)</f>
        <v/>
      </c>
      <c r="F8" s="5">
        <f>SUM(B8:E8)</f>
        <v/>
      </c>
    </row>
    <row r="9">
      <c r="A9" s="4" t="inlineStr">
        <is>
          <t>Intro 3 (day_topics)</t>
        </is>
      </c>
      <c r="B9" s="5">
        <f>COUNTIFS('Bug List'!$B$2:$B$27,$A9,'Bug List'!$C$2:$C$27,B$6)</f>
        <v/>
      </c>
      <c r="C9" s="5">
        <f>COUNTIFS('Bug List'!$B$2:$B$27,$A9,'Bug List'!$C$2:$C$27,C$6)</f>
        <v/>
      </c>
      <c r="D9" s="5">
        <f>COUNTIFS('Bug List'!$B$2:$B$27,$A9,'Bug List'!$C$2:$C$27,D$6)</f>
        <v/>
      </c>
      <c r="E9" s="5">
        <f>COUNTIFS('Bug List'!$B$2:$B$27,$A9,'Bug List'!$C$2:$C$27,E$6)</f>
        <v/>
      </c>
      <c r="F9" s="5">
        <f>SUM(B9:E9)</f>
        <v/>
      </c>
    </row>
    <row r="10">
      <c r="A10" s="4" t="inlineStr">
        <is>
          <t>Intro 4 (friend_not_therapist)</t>
        </is>
      </c>
      <c r="B10" s="5">
        <f>COUNTIFS('Bug List'!$B$2:$B$27,$A10,'Bug List'!$C$2:$C$27,B$6)</f>
        <v/>
      </c>
      <c r="C10" s="5">
        <f>COUNTIFS('Bug List'!$B$2:$B$27,$A10,'Bug List'!$C$2:$C$27,C$6)</f>
        <v/>
      </c>
      <c r="D10" s="5">
        <f>COUNTIFS('Bug List'!$B$2:$B$27,$A10,'Bug List'!$C$2:$C$27,D$6)</f>
        <v/>
      </c>
      <c r="E10" s="5">
        <f>COUNTIFS('Bug List'!$B$2:$B$27,$A10,'Bug List'!$C$2:$C$27,E$6)</f>
        <v/>
      </c>
      <c r="F10" s="5">
        <f>SUM(B10:E10)</f>
        <v/>
      </c>
    </row>
    <row r="11">
      <c r="A11" s="4" t="inlineStr">
        <is>
          <t>Intro 5 (name)</t>
        </is>
      </c>
      <c r="B11" s="5">
        <f>COUNTIFS('Bug List'!$B$2:$B$27,$A11,'Bug List'!$C$2:$C$27,B$6)</f>
        <v/>
      </c>
      <c r="C11" s="5">
        <f>COUNTIFS('Bug List'!$B$2:$B$27,$A11,'Bug List'!$C$2:$C$27,C$6)</f>
        <v/>
      </c>
      <c r="D11" s="5">
        <f>COUNTIFS('Bug List'!$B$2:$B$27,$A11,'Bug List'!$C$2:$C$27,D$6)</f>
        <v/>
      </c>
      <c r="E11" s="5">
        <f>COUNTIFS('Bug List'!$B$2:$B$27,$A11,'Bug List'!$C$2:$C$27,E$6)</f>
        <v/>
      </c>
      <c r="F11" s="5">
        <f>SUM(B11:E11)</f>
        <v/>
      </c>
    </row>
    <row r="12">
      <c r="A12" s="4" t="inlineStr">
        <is>
          <t>Intro 6 (support_style)</t>
        </is>
      </c>
      <c r="B12" s="5">
        <f>COUNTIFS('Bug List'!$B$2:$B$27,$A12,'Bug List'!$C$2:$C$27,B$6)</f>
        <v/>
      </c>
      <c r="C12" s="5">
        <f>COUNTIFS('Bug List'!$B$2:$B$27,$A12,'Bug List'!$C$2:$C$27,C$6)</f>
        <v/>
      </c>
      <c r="D12" s="5">
        <f>COUNTIFS('Bug List'!$B$2:$B$27,$A12,'Bug List'!$C$2:$C$27,D$6)</f>
        <v/>
      </c>
      <c r="E12" s="5">
        <f>COUNTIFS('Bug List'!$B$2:$B$27,$A12,'Bug List'!$C$2:$C$27,E$6)</f>
        <v/>
      </c>
      <c r="F12" s="5">
        <f>SUM(B12:E12)</f>
        <v/>
      </c>
    </row>
    <row r="13">
      <c r="A13" s="4" t="inlineStr">
        <is>
          <t>Intro 7 (personality)</t>
        </is>
      </c>
      <c r="B13" s="5">
        <f>COUNTIFS('Bug List'!$B$2:$B$27,$A13,'Bug List'!$C$2:$C$27,B$6)</f>
        <v/>
      </c>
      <c r="C13" s="5">
        <f>COUNTIFS('Bug List'!$B$2:$B$27,$A13,'Bug List'!$C$2:$C$27,C$6)</f>
        <v/>
      </c>
      <c r="D13" s="5">
        <f>COUNTIFS('Bug List'!$B$2:$B$27,$A13,'Bug List'!$C$2:$C$27,D$6)</f>
        <v/>
      </c>
      <c r="E13" s="5">
        <f>COUNTIFS('Bug List'!$B$2:$B$27,$A13,'Bug List'!$C$2:$C$27,E$6)</f>
        <v/>
      </c>
      <c r="F13" s="5">
        <f>SUM(B13:E13)</f>
        <v/>
      </c>
    </row>
    <row r="14">
      <c r="A14" s="4" t="inlineStr">
        <is>
          <t>Intro 8 (memory_control)</t>
        </is>
      </c>
      <c r="B14" s="5">
        <f>COUNTIFS('Bug List'!$B$2:$B$27,$A14,'Bug List'!$C$2:$C$27,B$6)</f>
        <v/>
      </c>
      <c r="C14" s="5">
        <f>COUNTIFS('Bug List'!$B$2:$B$27,$A14,'Bug List'!$C$2:$C$27,C$6)</f>
        <v/>
      </c>
      <c r="D14" s="5">
        <f>COUNTIFS('Bug List'!$B$2:$B$27,$A14,'Bug List'!$C$2:$C$27,D$6)</f>
        <v/>
      </c>
      <c r="E14" s="5">
        <f>COUNTIFS('Bug List'!$B$2:$B$27,$A14,'Bug List'!$C$2:$C$27,E$6)</f>
        <v/>
      </c>
      <c r="F14" s="5">
        <f>SUM(B14:E14)</f>
        <v/>
      </c>
    </row>
    <row r="15">
      <c r="A15" s="4" t="inlineStr">
        <is>
          <t>Intro 9 (getting_ready)</t>
        </is>
      </c>
      <c r="B15" s="5">
        <f>COUNTIFS('Bug List'!$B$2:$B$27,$A15,'Bug List'!$C$2:$C$27,B$6)</f>
        <v/>
      </c>
      <c r="C15" s="5">
        <f>COUNTIFS('Bug List'!$B$2:$B$27,$A15,'Bug List'!$C$2:$C$27,C$6)</f>
        <v/>
      </c>
      <c r="D15" s="5">
        <f>COUNTIFS('Bug List'!$B$2:$B$27,$A15,'Bug List'!$C$2:$C$27,D$6)</f>
        <v/>
      </c>
      <c r="E15" s="5">
        <f>COUNTIFS('Bug List'!$B$2:$B$27,$A15,'Bug List'!$C$2:$C$27,E$6)</f>
        <v/>
      </c>
      <c r="F15" s="5">
        <f>SUM(B15:E15)</f>
        <v/>
      </c>
    </row>
    <row r="16">
      <c r="A16" s="4" t="inlineStr">
        <is>
          <t>Intro 10 (meet_companion)</t>
        </is>
      </c>
      <c r="B16" s="5">
        <f>COUNTIFS('Bug List'!$B$2:$B$27,$A16,'Bug List'!$C$2:$C$27,B$6)</f>
        <v/>
      </c>
      <c r="C16" s="5">
        <f>COUNTIFS('Bug List'!$B$2:$B$27,$A16,'Bug List'!$C$2:$C$27,C$6)</f>
        <v/>
      </c>
      <c r="D16" s="5">
        <f>COUNTIFS('Bug List'!$B$2:$B$27,$A16,'Bug List'!$C$2:$C$27,D$6)</f>
        <v/>
      </c>
      <c r="E16" s="5">
        <f>COUNTIFS('Bug List'!$B$2:$B$27,$A16,'Bug List'!$C$2:$C$27,E$6)</f>
        <v/>
      </c>
      <c r="F16" s="5">
        <f>SUM(B16:E16)</f>
        <v/>
      </c>
    </row>
    <row r="17">
      <c r="A17" s="4" t="inlineStr">
        <is>
          <t>Intro 11 (first_checkin)</t>
        </is>
      </c>
      <c r="B17" s="5">
        <f>COUNTIFS('Bug List'!$B$2:$B$27,$A17,'Bug List'!$C$2:$C$27,B$6)</f>
        <v/>
      </c>
      <c r="C17" s="5">
        <f>COUNTIFS('Bug List'!$B$2:$B$27,$A17,'Bug List'!$C$2:$C$27,C$6)</f>
        <v/>
      </c>
      <c r="D17" s="5">
        <f>COUNTIFS('Bug List'!$B$2:$B$27,$A17,'Bug List'!$C$2:$C$27,D$6)</f>
        <v/>
      </c>
      <c r="E17" s="5">
        <f>COUNTIFS('Bug List'!$B$2:$B$27,$A17,'Bug List'!$C$2:$C$27,E$6)</f>
        <v/>
      </c>
      <c r="F17" s="5">
        <f>SUM(B17:E17)</f>
        <v/>
      </c>
    </row>
    <row r="18">
      <c r="A18" s="4" t="inlineStr">
        <is>
          <t>Intro 12 (it_remembers)</t>
        </is>
      </c>
      <c r="B18" s="5">
        <f>COUNTIFS('Bug List'!$B$2:$B$27,$A18,'Bug List'!$C$2:$C$27,B$6)</f>
        <v/>
      </c>
      <c r="C18" s="5">
        <f>COUNTIFS('Bug List'!$B$2:$B$27,$A18,'Bug List'!$C$2:$C$27,C$6)</f>
        <v/>
      </c>
      <c r="D18" s="5">
        <f>COUNTIFS('Bug List'!$B$2:$B$27,$A18,'Bug List'!$C$2:$C$27,D$6)</f>
        <v/>
      </c>
      <c r="E18" s="5">
        <f>COUNTIFS('Bug List'!$B$2:$B$27,$A18,'Bug List'!$C$2:$C$27,E$6)</f>
        <v/>
      </c>
      <c r="F18" s="5">
        <f>SUM(B18:E18)</f>
        <v/>
      </c>
    </row>
    <row r="19">
      <c r="A19" s="4" t="inlineStr">
        <is>
          <t>Intro 13 (day_remembered)</t>
        </is>
      </c>
      <c r="B19" s="5">
        <f>COUNTIFS('Bug List'!$B$2:$B$27,$A19,'Bug List'!$C$2:$C$27,B$6)</f>
        <v/>
      </c>
      <c r="C19" s="5">
        <f>COUNTIFS('Bug List'!$B$2:$B$27,$A19,'Bug List'!$C$2:$C$27,C$6)</f>
        <v/>
      </c>
      <c r="D19" s="5">
        <f>COUNTIFS('Bug List'!$B$2:$B$27,$A19,'Bug List'!$C$2:$C$27,D$6)</f>
        <v/>
      </c>
      <c r="E19" s="5">
        <f>COUNTIFS('Bug List'!$B$2:$B$27,$A19,'Bug List'!$C$2:$C$27,E$6)</f>
        <v/>
      </c>
      <c r="F19" s="5">
        <f>SUM(B19:E19)</f>
        <v/>
      </c>
    </row>
    <row r="20">
      <c r="A20" s="4" t="inlineStr">
        <is>
          <t>Intro 14 (checkin_time)</t>
        </is>
      </c>
      <c r="B20" s="5">
        <f>COUNTIFS('Bug List'!$B$2:$B$27,$A20,'Bug List'!$C$2:$C$27,B$6)</f>
        <v/>
      </c>
      <c r="C20" s="5">
        <f>COUNTIFS('Bug List'!$B$2:$B$27,$A20,'Bug List'!$C$2:$C$27,C$6)</f>
        <v/>
      </c>
      <c r="D20" s="5">
        <f>COUNTIFS('Bug List'!$B$2:$B$27,$A20,'Bug List'!$C$2:$C$27,D$6)</f>
        <v/>
      </c>
      <c r="E20" s="5">
        <f>COUNTIFS('Bug List'!$B$2:$B$27,$A20,'Bug List'!$C$2:$C$27,E$6)</f>
        <v/>
      </c>
      <c r="F20" s="5">
        <f>SUM(B20:E20)</f>
        <v/>
      </c>
    </row>
    <row r="21">
      <c r="A21" s="4" t="inlineStr">
        <is>
          <t>Intro 15 (save_memories)</t>
        </is>
      </c>
      <c r="B21" s="5">
        <f>COUNTIFS('Bug List'!$B$2:$B$27,$A21,'Bug List'!$C$2:$C$27,B$6)</f>
        <v/>
      </c>
      <c r="C21" s="5">
        <f>COUNTIFS('Bug List'!$B$2:$B$27,$A21,'Bug List'!$C$2:$C$27,C$6)</f>
        <v/>
      </c>
      <c r="D21" s="5">
        <f>COUNTIFS('Bug List'!$B$2:$B$27,$A21,'Bug List'!$C$2:$C$27,D$6)</f>
        <v/>
      </c>
      <c r="E21" s="5">
        <f>COUNTIFS('Bug List'!$B$2:$B$27,$A21,'Bug List'!$C$2:$C$27,E$6)</f>
        <v/>
      </c>
      <c r="F21" s="5">
        <f>SUM(B21:E21)</f>
        <v/>
      </c>
    </row>
    <row r="22">
      <c r="A22" s="4" t="inlineStr">
        <is>
          <t>Paywall 1 (paywall)</t>
        </is>
      </c>
      <c r="B22" s="5">
        <f>COUNTIFS('Bug List'!$B$2:$B$27,$A22,'Bug List'!$C$2:$C$27,B$6)</f>
        <v/>
      </c>
      <c r="C22" s="5">
        <f>COUNTIFS('Bug List'!$B$2:$B$27,$A22,'Bug List'!$C$2:$C$27,C$6)</f>
        <v/>
      </c>
      <c r="D22" s="5">
        <f>COUNTIFS('Bug List'!$B$2:$B$27,$A22,'Bug List'!$C$2:$C$27,D$6)</f>
        <v/>
      </c>
      <c r="E22" s="5">
        <f>COUNTIFS('Bug List'!$B$2:$B$27,$A22,'Bug List'!$C$2:$C$27,E$6)</f>
        <v/>
      </c>
      <c r="F22" s="5">
        <f>SUM(B22:E22)</f>
        <v/>
      </c>
    </row>
    <row r="23">
      <c r="A23" s="4" t="inlineStr">
        <is>
          <t>Paywall 2 (sale) (sale_m1)</t>
        </is>
      </c>
      <c r="B23" s="5">
        <f>COUNTIFS('Bug List'!$B$2:$B$27,$A23,'Bug List'!$C$2:$C$27,B$6)</f>
        <v/>
      </c>
      <c r="C23" s="5">
        <f>COUNTIFS('Bug List'!$B$2:$B$27,$A23,'Bug List'!$C$2:$C$27,C$6)</f>
        <v/>
      </c>
      <c r="D23" s="5">
        <f>COUNTIFS('Bug List'!$B$2:$B$27,$A23,'Bug List'!$C$2:$C$27,D$6)</f>
        <v/>
      </c>
      <c r="E23" s="5">
        <f>COUNTIFS('Bug List'!$B$2:$B$27,$A23,'Bug List'!$C$2:$C$27,E$6)</f>
        <v/>
      </c>
      <c r="F23" s="5">
        <f>SUM(B23:E23)</f>
        <v/>
      </c>
    </row>
    <row r="24">
      <c r="A24" s="4" t="inlineStr">
        <is>
          <t>Paywall 3 (sale) (sale_m3)</t>
        </is>
      </c>
      <c r="B24" s="5">
        <f>COUNTIFS('Bug List'!$B$2:$B$27,$A24,'Bug List'!$C$2:$C$27,B$6)</f>
        <v/>
      </c>
      <c r="C24" s="5">
        <f>COUNTIFS('Bug List'!$B$2:$B$27,$A24,'Bug List'!$C$2:$C$27,C$6)</f>
        <v/>
      </c>
      <c r="D24" s="5">
        <f>COUNTIFS('Bug List'!$B$2:$B$27,$A24,'Bug List'!$C$2:$C$27,D$6)</f>
        <v/>
      </c>
      <c r="E24" s="5">
        <f>COUNTIFS('Bug List'!$B$2:$B$27,$A24,'Bug List'!$C$2:$C$27,E$6)</f>
        <v/>
      </c>
      <c r="F24" s="5">
        <f>SUM(B24:E24)</f>
        <v/>
      </c>
    </row>
    <row r="25">
      <c r="A25" s="4" t="inlineStr">
        <is>
          <t>Paywall 4 (sale) (sale_y12)</t>
        </is>
      </c>
      <c r="B25" s="5">
        <f>COUNTIFS('Bug List'!$B$2:$B$27,$A25,'Bug List'!$C$2:$C$27,B$6)</f>
        <v/>
      </c>
      <c r="C25" s="5">
        <f>COUNTIFS('Bug List'!$B$2:$B$27,$A25,'Bug List'!$C$2:$C$27,C$6)</f>
        <v/>
      </c>
      <c r="D25" s="5">
        <f>COUNTIFS('Bug List'!$B$2:$B$27,$A25,'Bug List'!$C$2:$C$27,D$6)</f>
        <v/>
      </c>
      <c r="E25" s="5">
        <f>COUNTIFS('Bug List'!$B$2:$B$27,$A25,'Bug List'!$C$2:$C$27,E$6)</f>
        <v/>
      </c>
      <c r="F25" s="5">
        <f>SUM(B25:E25)</f>
        <v/>
      </c>
    </row>
    <row r="26">
      <c r="A26" s="4" t="inlineStr">
        <is>
          <t>Paywall 5 (sale) (sale_lifetime)</t>
        </is>
      </c>
      <c r="B26" s="5">
        <f>COUNTIFS('Bug List'!$B$2:$B$27,$A26,'Bug List'!$C$2:$C$27,B$6)</f>
        <v/>
      </c>
      <c r="C26" s="5">
        <f>COUNTIFS('Bug List'!$B$2:$B$27,$A26,'Bug List'!$C$2:$C$27,C$6)</f>
        <v/>
      </c>
      <c r="D26" s="5">
        <f>COUNTIFS('Bug List'!$B$2:$B$27,$A26,'Bug List'!$C$2:$C$27,D$6)</f>
        <v/>
      </c>
      <c r="E26" s="5">
        <f>COUNTIFS('Bug List'!$B$2:$B$27,$A26,'Bug List'!$C$2:$C$27,E$6)</f>
        <v/>
      </c>
      <c r="F26" s="5">
        <f>SUM(B26:E26)</f>
        <v/>
      </c>
    </row>
    <row r="27">
      <c r="A27" s="4" t="inlineStr">
        <is>
          <t>Upsale 1 (upsell_lifetime)</t>
        </is>
      </c>
      <c r="B27" s="5">
        <f>COUNTIFS('Bug List'!$B$2:$B$27,$A27,'Bug List'!$C$2:$C$27,B$6)</f>
        <v/>
      </c>
      <c r="C27" s="5">
        <f>COUNTIFS('Bug List'!$B$2:$B$27,$A27,'Bug List'!$C$2:$C$27,C$6)</f>
        <v/>
      </c>
      <c r="D27" s="5">
        <f>COUNTIFS('Bug List'!$B$2:$B$27,$A27,'Bug List'!$C$2:$C$27,D$6)</f>
        <v/>
      </c>
      <c r="E27" s="5">
        <f>COUNTIFS('Bug List'!$B$2:$B$27,$A27,'Bug List'!$C$2:$C$27,E$6)</f>
        <v/>
      </c>
      <c r="F27" s="5">
        <f>SUM(B27:E27)</f>
        <v/>
      </c>
    </row>
    <row r="28">
      <c r="A28" s="4" t="inlineStr">
        <is>
          <t>Download App (get_app)</t>
        </is>
      </c>
      <c r="B28" s="5">
        <f>COUNTIFS('Bug List'!$B$2:$B$27,$A28,'Bug List'!$C$2:$C$27,B$6)</f>
        <v/>
      </c>
      <c r="C28" s="5">
        <f>COUNTIFS('Bug List'!$B$2:$B$27,$A28,'Bug List'!$C$2:$C$27,C$6)</f>
        <v/>
      </c>
      <c r="D28" s="5">
        <f>COUNTIFS('Bug List'!$B$2:$B$27,$A28,'Bug List'!$C$2:$C$27,D$6)</f>
        <v/>
      </c>
      <c r="E28" s="5">
        <f>COUNTIFS('Bug List'!$B$2:$B$27,$A28,'Bug List'!$C$2:$C$27,E$6)</f>
        <v/>
      </c>
      <c r="F28" s="5">
        <f>SUM(B28:E28)</f>
        <v/>
      </c>
    </row>
    <row r="29">
      <c r="A29" s="4" t="inlineStr">
        <is>
          <t>Paywall 1 – redirect (back_in_chat)</t>
        </is>
      </c>
      <c r="B29" s="5">
        <f>COUNTIFS('Bug List'!$B$2:$B$27,$A29,'Bug List'!$C$2:$C$27,B$6)</f>
        <v/>
      </c>
      <c r="C29" s="5">
        <f>COUNTIFS('Bug List'!$B$2:$B$27,$A29,'Bug List'!$C$2:$C$27,C$6)</f>
        <v/>
      </c>
      <c r="D29" s="5">
        <f>COUNTIFS('Bug List'!$B$2:$B$27,$A29,'Bug List'!$C$2:$C$27,D$6)</f>
        <v/>
      </c>
      <c r="E29" s="5">
        <f>COUNTIFS('Bug List'!$B$2:$B$27,$A29,'Bug List'!$C$2:$C$27,E$6)</f>
        <v/>
      </c>
      <c r="F29" s="5">
        <f>SUM(B29:E29)</f>
        <v/>
      </c>
    </row>
    <row r="30">
      <c r="A30" s="4" t="inlineStr">
        <is>
          <t>Paywall 1 – redirect (day2_remembered)</t>
        </is>
      </c>
      <c r="B30" s="5">
        <f>COUNTIFS('Bug List'!$B$2:$B$27,$A30,'Bug List'!$C$2:$C$27,B$6)</f>
        <v/>
      </c>
      <c r="C30" s="5">
        <f>COUNTIFS('Bug List'!$B$2:$B$27,$A30,'Bug List'!$C$2:$C$27,C$6)</f>
        <v/>
      </c>
      <c r="D30" s="5">
        <f>COUNTIFS('Bug List'!$B$2:$B$27,$A30,'Bug List'!$C$2:$C$27,D$6)</f>
        <v/>
      </c>
      <c r="E30" s="5">
        <f>COUNTIFS('Bug List'!$B$2:$B$27,$A30,'Bug List'!$C$2:$C$27,E$6)</f>
        <v/>
      </c>
      <c r="F30" s="5">
        <f>SUM(B30:E30)</f>
        <v/>
      </c>
    </row>
    <row r="31">
      <c r="A31" s="4" t="inlineStr">
        <is>
          <t>Paywall 1 – redirect (daily_limit)</t>
        </is>
      </c>
      <c r="B31" s="5">
        <f>COUNTIFS('Bug List'!$B$2:$B$27,$A31,'Bug List'!$C$2:$C$27,B$6)</f>
        <v/>
      </c>
      <c r="C31" s="5">
        <f>COUNTIFS('Bug List'!$B$2:$B$27,$A31,'Bug List'!$C$2:$C$27,C$6)</f>
        <v/>
      </c>
      <c r="D31" s="5">
        <f>COUNTIFS('Bug List'!$B$2:$B$27,$A31,'Bug List'!$C$2:$C$27,D$6)</f>
        <v/>
      </c>
      <c r="E31" s="5">
        <f>COUNTIFS('Bug List'!$B$2:$B$27,$A31,'Bug List'!$C$2:$C$27,E$6)</f>
        <v/>
      </c>
      <c r="F31" s="5">
        <f>SUM(B31:E31)</f>
        <v/>
      </c>
    </row>
    <row r="32">
      <c r="A32" s="4" t="inlineStr">
        <is>
          <t>Paywall 6 (legacy offer, ngoài flow) (cần confirm loại màn) (last_chance_offer)</t>
        </is>
      </c>
      <c r="B32" s="5">
        <f>COUNTIFS('Bug List'!$B$2:$B$27,$A32,'Bug List'!$C$2:$C$27,B$6)</f>
        <v/>
      </c>
      <c r="C32" s="5">
        <f>COUNTIFS('Bug List'!$B$2:$B$27,$A32,'Bug List'!$C$2:$C$27,C$6)</f>
        <v/>
      </c>
      <c r="D32" s="5">
        <f>COUNTIFS('Bug List'!$B$2:$B$27,$A32,'Bug List'!$C$2:$C$27,D$6)</f>
        <v/>
      </c>
      <c r="E32" s="5">
        <f>COUNTIFS('Bug List'!$B$2:$B$27,$A32,'Bug List'!$C$2:$C$27,E$6)</f>
        <v/>
      </c>
      <c r="F32" s="5">
        <f>SUM(B32:E32)</f>
        <v/>
      </c>
    </row>
    <row r="33">
      <c r="A33" s="6" t="inlineStr">
        <is>
          <t>Tổng</t>
        </is>
      </c>
      <c r="B33" s="7">
        <f>SUM(B7:B32)</f>
        <v/>
      </c>
      <c r="C33" s="7">
        <f>SUM(C7:C32)</f>
        <v/>
      </c>
      <c r="D33" s="7">
        <f>SUM(D7:D32)</f>
        <v/>
      </c>
      <c r="E33" s="7">
        <f>SUM(E7:E32)</f>
        <v/>
      </c>
      <c r="F33" s="7">
        <f>SUM(F7:F32)</f>
        <v/>
      </c>
    </row>
    <row r="35">
      <c r="A35" s="3" t="inlineStr">
        <is>
          <t>Severity</t>
        </is>
      </c>
      <c r="B35" s="3" t="inlineStr">
        <is>
          <t>Số bug</t>
        </is>
      </c>
    </row>
    <row r="36">
      <c r="A36" s="8" t="inlineStr">
        <is>
          <t>Critical</t>
        </is>
      </c>
      <c r="B36" s="9">
        <f>COUNTIF('Bug List'!$D$2:$D$27,A36)</f>
        <v/>
      </c>
    </row>
    <row r="37">
      <c r="A37" s="10" t="inlineStr">
        <is>
          <t>High</t>
        </is>
      </c>
      <c r="B37" s="9">
        <f>COUNTIF('Bug List'!$D$2:$D$27,A37)</f>
        <v/>
      </c>
    </row>
    <row r="38">
      <c r="A38" s="11" t="inlineStr">
        <is>
          <t>Medium</t>
        </is>
      </c>
      <c r="B38" s="9">
        <f>COUNTIF('Bug List'!$D$2:$D$27,A38)</f>
        <v/>
      </c>
    </row>
    <row r="39">
      <c r="A39" s="12" t="inlineStr">
        <is>
          <t>Low</t>
        </is>
      </c>
      <c r="B39" s="9">
        <f>COUNTIF('Bug List'!$D$2:$D$27,A39)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13" t="inlineStr"/>
      <c r="B2" s="13" t="inlineStr">
        <is>
          <t>Intro 1 (hook_age_check)</t>
        </is>
      </c>
      <c r="C2" s="13" t="inlineStr"/>
      <c r="D2" s="13" t="inlineStr"/>
      <c r="E2" s="14" t="inlineStr">
        <is>
          <t>Không phát hiện lỗi</t>
        </is>
      </c>
      <c r="F2" s="14" t="inlineStr"/>
      <c r="G2" s="14" t="inlineStr"/>
      <c r="H2" s="14" t="inlineStr"/>
    </row>
    <row r="3">
      <c r="A3" s="13" t="inlineStr"/>
      <c r="B3" s="13" t="inlineStr">
        <is>
          <t>Intro 2 (mood)</t>
        </is>
      </c>
      <c r="C3" s="13" t="inlineStr"/>
      <c r="D3" s="13" t="inlineStr"/>
      <c r="E3" s="14" t="inlineStr">
        <is>
          <t>Không phát hiện lỗi</t>
        </is>
      </c>
      <c r="F3" s="14" t="inlineStr"/>
      <c r="G3" s="14" t="inlineStr"/>
      <c r="H3" s="14" t="inlineStr"/>
    </row>
    <row r="4">
      <c r="A4" s="13" t="inlineStr"/>
      <c r="B4" s="13" t="inlineStr">
        <is>
          <t>Intro 3 (day_topics)</t>
        </is>
      </c>
      <c r="C4" s="13" t="inlineStr"/>
      <c r="D4" s="13" t="inlineStr"/>
      <c r="E4" s="14" t="inlineStr">
        <is>
          <t>Không phát hiện lỗi</t>
        </is>
      </c>
      <c r="F4" s="14" t="inlineStr"/>
      <c r="G4" s="14" t="inlineStr"/>
      <c r="H4" s="14" t="inlineStr"/>
    </row>
    <row r="5">
      <c r="A5" s="5" t="n">
        <v>1</v>
      </c>
      <c r="B5" s="5" t="inlineStr">
        <is>
          <t>Intro 4 (friend_not_therapist)</t>
        </is>
      </c>
      <c r="C5" s="5" t="inlineStr">
        <is>
          <t>[UI][Responsive]</t>
        </is>
      </c>
      <c r="D5" s="15" t="inlineStr">
        <is>
          <t>Low</t>
        </is>
      </c>
      <c r="E5" s="16" t="inlineStr">
        <is>
          <t>[UI][Responsive][Intro 4] Nội dung bị đẩy xuống giữa màn, để trống lớn phía trên trên màn lớn (lặp ở Intro 8)</t>
        </is>
      </c>
      <c r="F5" s="16" t="inlineStr">
        <is>
          <t>- Ở 430×932, màn Intro 4 (friend_not_therapist) và Intro 8 (memory_control) căn giữa theo chiều dọc: headline bắt đầu khoảng giữa màn, phía trên chỉ có back/progress và khoảng trống lớn; các màn Intro 2, 3, 5, 6, 7 cùng kích thước đều đặt headline ngay dưới progress bar nên vị trí headline nhảy giữa các màn.</t>
        </is>
      </c>
      <c r="G5" s="16" t="inlineStr">
        <is>
          <t>- Spec chưa định nghĩa – cần PM/Designer confirm vị trí headline thống nhất giữa các màn Intro (Cần đối chiếu Figma).</t>
        </is>
      </c>
      <c r="H5" s="16" t="inlineStr">
        <is>
          <t>Screenshot/Video: screens/04-friend_not_therapist-large.png, screens/08-memory_control-large.png, screens/03-day_topics-large.png</t>
        </is>
      </c>
    </row>
    <row r="6">
      <c r="A6" s="13" t="inlineStr"/>
      <c r="B6" s="13" t="inlineStr">
        <is>
          <t>Intro 5 (name)</t>
        </is>
      </c>
      <c r="C6" s="13" t="inlineStr"/>
      <c r="D6" s="13" t="inlineStr"/>
      <c r="E6" s="14" t="inlineStr">
        <is>
          <t>Không phát hiện lỗi</t>
        </is>
      </c>
      <c r="F6" s="14" t="inlineStr"/>
      <c r="G6" s="14" t="inlineStr"/>
      <c r="H6" s="14" t="inlineStr"/>
    </row>
    <row r="7">
      <c r="A7" s="13" t="inlineStr"/>
      <c r="B7" s="13" t="inlineStr">
        <is>
          <t>Intro 6 (support_style)</t>
        </is>
      </c>
      <c r="C7" s="13" t="inlineStr"/>
      <c r="D7" s="13" t="inlineStr"/>
      <c r="E7" s="14" t="inlineStr">
        <is>
          <t>Không phát hiện lỗi</t>
        </is>
      </c>
      <c r="F7" s="14" t="inlineStr"/>
      <c r="G7" s="14" t="inlineStr"/>
      <c r="H7" s="14" t="inlineStr"/>
    </row>
    <row r="8">
      <c r="A8" s="5" t="n">
        <v>2</v>
      </c>
      <c r="B8" s="5" t="inlineStr">
        <is>
          <t>Intro 7 (personality)</t>
        </is>
      </c>
      <c r="C8" s="5" t="inlineStr">
        <is>
          <t>[UI][Responsive]</t>
        </is>
      </c>
      <c r="D8" s="17" t="inlineStr">
        <is>
          <t>Medium</t>
        </is>
      </c>
      <c r="E8" s="16" t="inlineStr">
        <is>
          <t>[UI][Responsive][Intro 7] Hàng chip bị cắt ngang bởi vùng CTA ở first view màn nhỏ (lặp ở Intro 10)</t>
        </is>
      </c>
      <c r="F8" s="16" t="inlineStr">
        <is>
          <t>- Ở 375×667, first view Intro 7 (personality) hiển thị hàng chip "He · She · They · Surprise me" bị cắt mất nửa dưới bởi vùng button Continue (mép cắt thẳng, không có fade); Intro 10 (meet_companion) bị tương tự với hàng "Or talk with Noor · Ben" sát button Say hi. Phải cuộn mới thấy đủ chip.</t>
        </is>
      </c>
      <c r="G8" s="16" t="inlineStr">
        <is>
          <t>- Component không bị cắt nửa ở first view; nếu nội dung tràn thì cần cue cuộn (fade/shadow) rõ ràng. Spec chưa định nghĩa cách xử lý – cần PM/Designer confirm.</t>
        </is>
      </c>
      <c r="H8" s="16" t="inlineStr">
        <is>
          <t>Screenshot/Video: screens/07-personality-small-p1.png, screens/07-personality-small-p2.png, screens/10-meet_companion-small-p1.png</t>
        </is>
      </c>
    </row>
    <row r="9">
      <c r="A9" s="13" t="inlineStr"/>
      <c r="B9" s="13" t="inlineStr">
        <is>
          <t>Intro 8 (memory_control)</t>
        </is>
      </c>
      <c r="C9" s="13" t="inlineStr"/>
      <c r="D9" s="13" t="inlineStr"/>
      <c r="E9" s="14" t="inlineStr">
        <is>
          <t>Không phát hiện lỗi</t>
        </is>
      </c>
      <c r="F9" s="14" t="inlineStr"/>
      <c r="G9" s="14" t="inlineStr"/>
      <c r="H9" s="14" t="inlineStr"/>
    </row>
    <row r="10">
      <c r="A10" s="5" t="n">
        <v>3</v>
      </c>
      <c r="B10" s="5" t="inlineStr">
        <is>
          <t>Intro 9 (getting_ready)</t>
        </is>
      </c>
      <c r="C10" s="5" t="inlineStr">
        <is>
          <t>[UI]</t>
        </is>
      </c>
      <c r="D10" s="15" t="inlineStr">
        <is>
          <t>Low</t>
        </is>
      </c>
      <c r="E10" s="16" t="inlineStr">
        <is>
          <t>[UI][Intro 9] Số % và độ dài progress bar của bước 1 không khớp nhau</t>
        </is>
      </c>
      <c r="F10" s="16" t="inlineStr">
        <is>
          <t>- Trong ảnh chụp loader Intro 9 (getting_ready), dòng "Listening to how today went..." hiển thị "66%" nhưng thanh progress chỉ được fill khoảng 1/3 chiều dài, giống nhau ở cả 375 và 430. Ảnh tĩnh nên có thể do bar animate chậm hơn số (độ tin cậy thấp, cần verify bằng video).</t>
        </is>
      </c>
      <c r="G10" s="16" t="inlineStr">
        <is>
          <t>- Số % và độ dài fill của progress bar cần khớp nhau tại cùng thời điểm (spec: mỗi step 0→100%).</t>
        </is>
      </c>
      <c r="H10" s="16" t="inlineStr">
        <is>
          <t>Screenshot/Video: screens/09-getting_ready-small.png, screens/09-getting_ready-large.png</t>
        </is>
      </c>
    </row>
    <row r="11">
      <c r="A11" s="13" t="inlineStr"/>
      <c r="B11" s="13" t="inlineStr">
        <is>
          <t>Intro 10 (meet_companion)</t>
        </is>
      </c>
      <c r="C11" s="13" t="inlineStr"/>
      <c r="D11" s="13" t="inlineStr"/>
      <c r="E11" s="14" t="inlineStr">
        <is>
          <t>Không phát hiện lỗi</t>
        </is>
      </c>
      <c r="F11" s="14" t="inlineStr"/>
      <c r="G11" s="14" t="inlineStr"/>
      <c r="H11" s="14" t="inlineStr"/>
    </row>
    <row r="12">
      <c r="A12" s="13" t="inlineStr"/>
      <c r="B12" s="13" t="inlineStr">
        <is>
          <t>Intro 11 (first_checkin)</t>
        </is>
      </c>
      <c r="C12" s="13" t="inlineStr"/>
      <c r="D12" s="13" t="inlineStr"/>
      <c r="E12" s="14" t="inlineStr">
        <is>
          <t>Không phát hiện lỗi</t>
        </is>
      </c>
      <c r="F12" s="14" t="inlineStr"/>
      <c r="G12" s="14" t="inlineStr"/>
      <c r="H12" s="14" t="inlineStr"/>
    </row>
    <row r="13">
      <c r="A13" s="13" t="inlineStr"/>
      <c r="B13" s="13" t="inlineStr">
        <is>
          <t>Intro 12 (it_remembers)</t>
        </is>
      </c>
      <c r="C13" s="13" t="inlineStr"/>
      <c r="D13" s="13" t="inlineStr"/>
      <c r="E13" s="14" t="inlineStr">
        <is>
          <t>Không phát hiện lỗi</t>
        </is>
      </c>
      <c r="F13" s="14" t="inlineStr"/>
      <c r="G13" s="14" t="inlineStr"/>
      <c r="H13" s="14" t="inlineStr"/>
    </row>
    <row r="14">
      <c r="A14" s="13" t="inlineStr"/>
      <c r="B14" s="13" t="inlineStr">
        <is>
          <t>Intro 13 (day_remembered)</t>
        </is>
      </c>
      <c r="C14" s="13" t="inlineStr"/>
      <c r="D14" s="13" t="inlineStr"/>
      <c r="E14" s="14" t="inlineStr">
        <is>
          <t>Không phát hiện lỗi</t>
        </is>
      </c>
      <c r="F14" s="14" t="inlineStr"/>
      <c r="G14" s="14" t="inlineStr"/>
      <c r="H14" s="14" t="inlineStr"/>
    </row>
    <row r="15">
      <c r="A15" s="13" t="inlineStr"/>
      <c r="B15" s="13" t="inlineStr">
        <is>
          <t>Intro 14 (checkin_time)</t>
        </is>
      </c>
      <c r="C15" s="13" t="inlineStr"/>
      <c r="D15" s="13" t="inlineStr"/>
      <c r="E15" s="14" t="inlineStr">
        <is>
          <t>Không phát hiện lỗi</t>
        </is>
      </c>
      <c r="F15" s="14" t="inlineStr"/>
      <c r="G15" s="14" t="inlineStr"/>
      <c r="H15" s="14" t="inlineStr"/>
    </row>
    <row r="16">
      <c r="A16" s="5" t="n">
        <v>4</v>
      </c>
      <c r="B16" s="5" t="inlineStr">
        <is>
          <t>Intro 15 (save_memories)</t>
        </is>
      </c>
      <c r="C16" s="5" t="inlineStr">
        <is>
          <t>[UI/UX]</t>
        </is>
      </c>
      <c r="D16" s="15" t="inlineStr">
        <is>
          <t>Low</t>
        </is>
      </c>
      <c r="E16" s="16" t="inlineStr">
        <is>
          <t>[UI/UX][Intro 15] "Terms" và "Privacy Policy" trong legal line không hiển thị dạng link</t>
        </is>
      </c>
      <c r="F16" s="16" t="inlineStr">
        <is>
          <t>- Ở Intro 15 (save_memories), dòng "By continuing you agree to the Terms and Privacy Policy." hiển thị cùng một màu xám, không underline/không đổi màu ở "Terms" và "Privacy Policy", trong khi các màn khác (Intro 1, Paywall, Sale) hiển thị Terms/Privacy có underline.</t>
        </is>
      </c>
      <c r="G16" s="16" t="inlineStr">
        <is>
          <t>- Theo product rule, Terms/Privacy là link; cần style link nhất quán với các màn khác và bấm được – cần PM/Designer confirm.</t>
        </is>
      </c>
      <c r="H16" s="16" t="inlineStr">
        <is>
          <t>Screenshot/Video: screens/15-save_memories-small.png, screens/15-save_memories-large.png</t>
        </is>
      </c>
    </row>
    <row r="17">
      <c r="A17" s="5" t="n">
        <v>5</v>
      </c>
      <c r="B17" s="5" t="inlineStr">
        <is>
          <t>Paywall 1 (paywall)</t>
        </is>
      </c>
      <c r="C17" s="5" t="inlineStr">
        <is>
          <t>[UI/UX][Responsive]</t>
        </is>
      </c>
      <c r="D17" s="17" t="inlineStr">
        <is>
          <t>Medium</t>
        </is>
      </c>
      <c r="E17" s="16" t="inlineStr">
        <is>
          <t>[UI/UX][Responsive][Paywall 1] First view màn lớn không có CTA và giá nào</t>
        </is>
      </c>
      <c r="F17" s="16" t="inlineStr">
        <is>
          <t>- Ở 430×932, first view Paywall 1 (paywall) chỉ có hero, chip và memory card; plan block 1 mới ló viền ở đáy màn nên cả sticky bottom bar ("ChatChi Plus · 12 months / Due today $119.99 / Continue") lẫn mini "Continue" trên header đều ẩn, user không thấy giá hay CTA nào nếu chưa cuộn. Ở 375×667 cả hai CTA đều hiển thị.</t>
        </is>
      </c>
      <c r="G17" s="16" t="inlineStr">
        <is>
          <t>- Spec: sticky bar chỉ ẩn khi plan block đang trên màn; spec chưa định nghĩa ngưỡng "đang trên màn" khi block chỉ ló viền – cần PM/Designer confirm để first view luôn có CTA.</t>
        </is>
      </c>
      <c r="H17" s="16" t="inlineStr">
        <is>
          <t>Screenshot/Video: screens/16-paywall-large-p1.png, screens/16-paywall-small-p1.png</t>
        </is>
      </c>
    </row>
    <row r="18">
      <c r="A18" s="5" t="n">
        <v>6</v>
      </c>
      <c r="B18" s="5" t="inlineStr">
        <is>
          <t>Paywall 2 (sale) (sale_m1)</t>
        </is>
      </c>
      <c r="C18" s="5" t="inlineStr">
        <is>
          <t>[UI][Responsive]</t>
        </is>
      </c>
      <c r="D18" s="15" t="inlineStr">
        <is>
          <t>Low</t>
        </is>
      </c>
      <c r="E18" s="16" t="inlineStr">
        <is>
          <t>[UI][Responsive][Paywall 2] Wellbeing line bị footer cố định che ở first view màn nhỏ (lặp ở Paywall 3, 4)</t>
        </is>
      </c>
      <c r="F18" s="16" t="inlineStr">
        <is>
          <t>- Ở 375×667, first view Paywall 2 (sale_m1), Paywall 3 (sale_m3), Paywall 4 (sale_y12) không thấy dòng "ChatChi is AI, not therapy. Crisis resources are always free." dưới card vì bị vùng "No thanks" + Terms/Privacy cố định che; phải cuộn mới thấy. Ở 430×932 và Paywall 5 (sale_lifetime) dòng này hiển thị ngay.</t>
        </is>
      </c>
      <c r="G18" s="16" t="inlineStr">
        <is>
          <t>- Nội dung không bị footer cố định che; wellbeing line (spec #17 Visual) cần nhìn thấy được – cần Designer confirm cách bố trí trên màn nhỏ.</t>
        </is>
      </c>
      <c r="H18" s="16" t="inlineStr">
        <is>
          <t>Screenshot/Video: screens/21-sale_m1-small-p1.png, screens/21-sale_m1-small-p2.png, screens/22-sale_m3-small-p1.png, screens/23-sale_y12-small-p1.png</t>
        </is>
      </c>
    </row>
    <row r="19">
      <c r="A19" s="13" t="inlineStr"/>
      <c r="B19" s="13" t="inlineStr">
        <is>
          <t>Paywall 3 (sale) (sale_m3)</t>
        </is>
      </c>
      <c r="C19" s="13" t="inlineStr"/>
      <c r="D19" s="13" t="inlineStr"/>
      <c r="E19" s="14" t="inlineStr">
        <is>
          <t>Không phát hiện lỗi</t>
        </is>
      </c>
      <c r="F19" s="14" t="inlineStr"/>
      <c r="G19" s="14" t="inlineStr"/>
      <c r="H19" s="14" t="inlineStr"/>
    </row>
    <row r="20">
      <c r="A20" s="13" t="inlineStr"/>
      <c r="B20" s="13" t="inlineStr">
        <is>
          <t>Paywall 4 (sale) (sale_y12)</t>
        </is>
      </c>
      <c r="C20" s="13" t="inlineStr"/>
      <c r="D20" s="13" t="inlineStr"/>
      <c r="E20" s="14" t="inlineStr">
        <is>
          <t>Không phát hiện lỗi</t>
        </is>
      </c>
      <c r="F20" s="14" t="inlineStr"/>
      <c r="G20" s="14" t="inlineStr"/>
      <c r="H20" s="14" t="inlineStr"/>
    </row>
    <row r="21">
      <c r="A21" s="13" t="inlineStr"/>
      <c r="B21" s="13" t="inlineStr">
        <is>
          <t>Paywall 5 (sale) (sale_lifetime)</t>
        </is>
      </c>
      <c r="C21" s="13" t="inlineStr"/>
      <c r="D21" s="13" t="inlineStr"/>
      <c r="E21" s="14" t="inlineStr">
        <is>
          <t>Không phát hiện lỗi</t>
        </is>
      </c>
      <c r="F21" s="14" t="inlineStr"/>
      <c r="G21" s="14" t="inlineStr"/>
      <c r="H21" s="14" t="inlineStr"/>
    </row>
    <row r="22">
      <c r="A22" s="5" t="n">
        <v>7</v>
      </c>
      <c r="B22" s="5" t="inlineStr">
        <is>
          <t>Upsale 1 (upsell_lifetime)</t>
        </is>
      </c>
      <c r="C22" s="5" t="inlineStr">
        <is>
          <t>[UI]</t>
        </is>
      </c>
      <c r="D22" s="15" t="inlineStr">
        <is>
          <t>Low</t>
        </is>
      </c>
      <c r="E22" s="16" t="inlineStr">
        <is>
          <t>[UI][Upsale 1] Card "Bonus companion" dùng avatar của companion hiện tại (Sam)</t>
        </is>
      </c>
      <c r="F22" s="16" t="inlineStr">
        <is>
          <t>- Ở Upsale 1 (upsell_lifetime), card "Bonus companion · Alongside Sam · private to you" hiển thị avatar Sam, giống hệt avatar trên các màn Sale, trong khi sản phẩm bán là một companion thứ hai tạo mới.</t>
        </is>
      </c>
      <c r="G22" s="16" t="inlineStr">
        <is>
          <t>- Spec chưa định nghĩa avatar cho Bonus companion – cần PM/Designer confirm (ví dụ avatar placeholder/khác Sam để tránh hiểu nhầm).</t>
        </is>
      </c>
      <c r="H22" s="16" t="inlineStr">
        <is>
          <t>Screenshot/Video: screens/25-upsell_lifetime-small.png, screens/21-sale_m1-small-p1.png</t>
        </is>
      </c>
    </row>
    <row r="23">
      <c r="A23" s="13" t="inlineStr"/>
      <c r="B23" s="13" t="inlineStr">
        <is>
          <t>Download App (get_app)</t>
        </is>
      </c>
      <c r="C23" s="13" t="inlineStr"/>
      <c r="D23" s="13" t="inlineStr"/>
      <c r="E23" s="14" t="inlineStr">
        <is>
          <t>Không phát hiện lỗi</t>
        </is>
      </c>
      <c r="F23" s="14" t="inlineStr"/>
      <c r="G23" s="14" t="inlineStr"/>
      <c r="H23" s="14" t="inlineStr"/>
    </row>
    <row r="24">
      <c r="A24" s="13" t="inlineStr"/>
      <c r="B24" s="13" t="inlineStr">
        <is>
          <t>Paywall 1 – redirect (back_in_chat)</t>
        </is>
      </c>
      <c r="C24" s="13" t="inlineStr"/>
      <c r="D24" s="13" t="inlineStr"/>
      <c r="E24" s="14" t="inlineStr">
        <is>
          <t>Không phát hiện lỗi</t>
        </is>
      </c>
      <c r="F24" s="14" t="inlineStr"/>
      <c r="G24" s="14" t="inlineStr"/>
      <c r="H24" s="14" t="inlineStr"/>
    </row>
    <row r="25">
      <c r="A25" s="13" t="inlineStr"/>
      <c r="B25" s="13" t="inlineStr">
        <is>
          <t>Paywall 1 – redirect (day2_remembered)</t>
        </is>
      </c>
      <c r="C25" s="13" t="inlineStr"/>
      <c r="D25" s="13" t="inlineStr"/>
      <c r="E25" s="14" t="inlineStr">
        <is>
          <t>Không phát hiện lỗi</t>
        </is>
      </c>
      <c r="F25" s="14" t="inlineStr"/>
      <c r="G25" s="14" t="inlineStr"/>
      <c r="H25" s="14" t="inlineStr"/>
    </row>
    <row r="26">
      <c r="A26" s="13" t="inlineStr"/>
      <c r="B26" s="13" t="inlineStr">
        <is>
          <t>Paywall 1 – redirect (daily_limit)</t>
        </is>
      </c>
      <c r="C26" s="13" t="inlineStr"/>
      <c r="D26" s="13" t="inlineStr"/>
      <c r="E26" s="14" t="inlineStr">
        <is>
          <t>Không phát hiện lỗi</t>
        </is>
      </c>
      <c r="F26" s="14" t="inlineStr"/>
      <c r="G26" s="14" t="inlineStr"/>
      <c r="H26" s="14" t="inlineStr"/>
    </row>
    <row r="27">
      <c r="A27" s="5" t="n">
        <v>8</v>
      </c>
      <c r="B27" s="5" t="inlineStr">
        <is>
          <t>Paywall 6 (legacy offer, ngoài flow) (cần confirm loại màn) (last_chance_offer)</t>
        </is>
      </c>
      <c r="C27" s="5" t="inlineStr">
        <is>
          <t>[UI]</t>
        </is>
      </c>
      <c r="D27" s="17" t="inlineStr">
        <is>
          <t>Medium</t>
        </is>
      </c>
      <c r="E27" s="16" t="inlineStr">
        <is>
          <t>[UI][Paywall 6] Màn offer legacy vẫn render khi mở trực tiếp, hiển thị raw token giá</t>
        </is>
      </c>
      <c r="F27" s="16" t="inlineStr">
        <is>
          <t>- Mở trực tiếp màn last_chance_offer (screen 20, deep-jump không bị redirect) hiển thị badge "{{offer_badge}}", giá "{{offer_price}}" và "{{offer_price}} today, then {{offer_renews}}" ở cả 375 và 430. Walk thật không đi qua màn này (spec: offer cũ đã tắt, CONFIG.offer.enabled:false) nên đặt Medium; nếu màn này được điều hướng tới trong bản FunnelFox thì là sai giá (Critical).</t>
        </is>
      </c>
      <c r="G27" s="16" t="inlineStr">
        <is>
          <t>- Theo spec, offer weekly cũ đã tắt: màn không được hiển thị cho user (redirect về Paywall 1 như back_in_chat/daily_limit, hoặc bỏ khỏi build); product rule: không để placeholder giá trong funnel.</t>
        </is>
      </c>
      <c r="H27" s="16" t="inlineStr">
        <is>
          <t>Screenshot/Video: screens/20-last_chance_offer-small-p1.png, screens/20-last_chance_offer-large.png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2026-10-06T12:49:49Z</dcterms:created>
  <dcterms:modified xmlns:dcterms="http://purl.org/dc/terms/" xmlns:xsi="http://www.w3.org/2001/XMLSchema-instance" xsi:type="dcterms:W3CDTF">2026-10-06T12:49:49Z</dcterms:modified>
</cp:coreProperties>
</file>