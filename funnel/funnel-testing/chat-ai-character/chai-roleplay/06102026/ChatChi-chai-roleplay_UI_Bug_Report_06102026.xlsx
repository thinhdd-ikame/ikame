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Tổng hợp bug</t>
        </is>
      </c>
    </row>
    <row r="2">
      <c r="A2" s="2" t="inlineStr">
        <is>
          <t>Project: ChatChi – chai-roleplay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[UI/UX][Responsive]</t>
        </is>
      </c>
      <c r="D6" s="3" t="inlineStr">
        <is>
          <t>[UI]</t>
        </is>
      </c>
      <c r="E6" s="3" t="inlineStr">
        <is>
          <t>[UI][Responsive]</t>
        </is>
      </c>
      <c r="F6" s="3" t="inlineStr">
        <is>
          <t>Tổng</t>
        </is>
      </c>
    </row>
    <row r="7">
      <c r="A7" s="4" t="inlineStr">
        <is>
          <t>Intro 1 (hook)</t>
        </is>
      </c>
      <c r="B7" s="5">
        <f>COUNTIFS('Bug List'!$B$2:$B$25,$A7,'Bug List'!$C$2:$C$25,B$6)</f>
        <v/>
      </c>
      <c r="C7" s="5">
        <f>COUNTIFS('Bug List'!$B$2:$B$25,$A7,'Bug List'!$C$2:$C$25,C$6)</f>
        <v/>
      </c>
      <c r="D7" s="5">
        <f>COUNTIFS('Bug List'!$B$2:$B$25,$A7,'Bug List'!$C$2:$C$25,D$6)</f>
        <v/>
      </c>
      <c r="E7" s="5">
        <f>COUNTIFS('Bug List'!$B$2:$B$25,$A7,'Bug List'!$C$2:$C$25,E$6)</f>
        <v/>
      </c>
      <c r="F7" s="5">
        <f>SUM(B7:E7)</f>
        <v/>
      </c>
    </row>
    <row r="8">
      <c r="A8" s="4" t="inlineStr">
        <is>
          <t>Intro 2 (age_gate)</t>
        </is>
      </c>
      <c r="B8" s="5">
        <f>COUNTIFS('Bug List'!$B$2:$B$25,$A8,'Bug List'!$C$2:$C$25,B$6)</f>
        <v/>
      </c>
      <c r="C8" s="5">
        <f>COUNTIFS('Bug List'!$B$2:$B$25,$A8,'Bug List'!$C$2:$C$25,C$6)</f>
        <v/>
      </c>
      <c r="D8" s="5">
        <f>COUNTIFS('Bug List'!$B$2:$B$25,$A8,'Bug List'!$C$2:$C$25,D$6)</f>
        <v/>
      </c>
      <c r="E8" s="5">
        <f>COUNTIFS('Bug List'!$B$2:$B$25,$A8,'Bug List'!$C$2:$C$25,E$6)</f>
        <v/>
      </c>
      <c r="F8" s="5">
        <f>SUM(B8:E8)</f>
        <v/>
      </c>
    </row>
    <row r="9">
      <c r="A9" s="4" t="inlineStr">
        <is>
          <t>Intro 3 (genre)</t>
        </is>
      </c>
      <c r="B9" s="5">
        <f>COUNTIFS('Bug List'!$B$2:$B$25,$A9,'Bug List'!$C$2:$C$25,B$6)</f>
        <v/>
      </c>
      <c r="C9" s="5">
        <f>COUNTIFS('Bug List'!$B$2:$B$25,$A9,'Bug List'!$C$2:$C$25,C$6)</f>
        <v/>
      </c>
      <c r="D9" s="5">
        <f>COUNTIFS('Bug List'!$B$2:$B$25,$A9,'Bug List'!$C$2:$C$25,D$6)</f>
        <v/>
      </c>
      <c r="E9" s="5">
        <f>COUNTIFS('Bug List'!$B$2:$B$25,$A9,'Bug List'!$C$2:$C$25,E$6)</f>
        <v/>
      </c>
      <c r="F9" s="5">
        <f>SUM(B9:E9)</f>
        <v/>
      </c>
    </row>
    <row r="10">
      <c r="A10" s="4" t="inlineStr">
        <is>
          <t>Intro 4 (role)</t>
        </is>
      </c>
      <c r="B10" s="5">
        <f>COUNTIFS('Bug List'!$B$2:$B$25,$A10,'Bug List'!$C$2:$C$25,B$6)</f>
        <v/>
      </c>
      <c r="C10" s="5">
        <f>COUNTIFS('Bug List'!$B$2:$B$25,$A10,'Bug List'!$C$2:$C$25,C$6)</f>
        <v/>
      </c>
      <c r="D10" s="5">
        <f>COUNTIFS('Bug List'!$B$2:$B$25,$A10,'Bug List'!$C$2:$C$25,D$6)</f>
        <v/>
      </c>
      <c r="E10" s="5">
        <f>COUNTIFS('Bug List'!$B$2:$B$25,$A10,'Bug List'!$C$2:$C$25,E$6)</f>
        <v/>
      </c>
      <c r="F10" s="5">
        <f>SUM(B10:E10)</f>
        <v/>
      </c>
    </row>
    <row r="11">
      <c r="A11" s="4" t="inlineStr">
        <is>
          <t>Intro 5 (setting)</t>
        </is>
      </c>
      <c r="B11" s="5">
        <f>COUNTIFS('Bug List'!$B$2:$B$25,$A11,'Bug List'!$C$2:$C$25,B$6)</f>
        <v/>
      </c>
      <c r="C11" s="5">
        <f>COUNTIFS('Bug List'!$B$2:$B$25,$A11,'Bug List'!$C$2:$C$25,C$6)</f>
        <v/>
      </c>
      <c r="D11" s="5">
        <f>COUNTIFS('Bug List'!$B$2:$B$25,$A11,'Bug List'!$C$2:$C$25,D$6)</f>
        <v/>
      </c>
      <c r="E11" s="5">
        <f>COUNTIFS('Bug List'!$B$2:$B$25,$A11,'Bug List'!$C$2:$C$25,E$6)</f>
        <v/>
      </c>
      <c r="F11" s="5">
        <f>SUM(B11:E11)</f>
        <v/>
      </c>
    </row>
    <row r="12">
      <c r="A12" s="4" t="inlineStr">
        <is>
          <t>Intro 6 (companion)</t>
        </is>
      </c>
      <c r="B12" s="5">
        <f>COUNTIFS('Bug List'!$B$2:$B$25,$A12,'Bug List'!$C$2:$C$25,B$6)</f>
        <v/>
      </c>
      <c r="C12" s="5">
        <f>COUNTIFS('Bug List'!$B$2:$B$25,$A12,'Bug List'!$C$2:$C$25,C$6)</f>
        <v/>
      </c>
      <c r="D12" s="5">
        <f>COUNTIFS('Bug List'!$B$2:$B$25,$A12,'Bug List'!$C$2:$C$25,D$6)</f>
        <v/>
      </c>
      <c r="E12" s="5">
        <f>COUNTIFS('Bug List'!$B$2:$B$25,$A12,'Bug List'!$C$2:$C$25,E$6)</f>
        <v/>
      </c>
      <c r="F12" s="5">
        <f>SUM(B12:E12)</f>
        <v/>
      </c>
    </row>
    <row r="13">
      <c r="A13" s="4" t="inlineStr">
        <is>
          <t>Intro 7 (tone)</t>
        </is>
      </c>
      <c r="B13" s="5">
        <f>COUNTIFS('Bug List'!$B$2:$B$25,$A13,'Bug List'!$C$2:$C$25,B$6)</f>
        <v/>
      </c>
      <c r="C13" s="5">
        <f>COUNTIFS('Bug List'!$B$2:$B$25,$A13,'Bug List'!$C$2:$C$25,C$6)</f>
        <v/>
      </c>
      <c r="D13" s="5">
        <f>COUNTIFS('Bug List'!$B$2:$B$25,$A13,'Bug List'!$C$2:$C$25,D$6)</f>
        <v/>
      </c>
      <c r="E13" s="5">
        <f>COUNTIFS('Bug List'!$B$2:$B$25,$A13,'Bug List'!$C$2:$C$25,E$6)</f>
        <v/>
      </c>
      <c r="F13" s="5">
        <f>SUM(B13:E13)</f>
        <v/>
      </c>
    </row>
    <row r="14">
      <c r="A14" s="4" t="inlineStr">
        <is>
          <t>Intro 8 (character_name)</t>
        </is>
      </c>
      <c r="B14" s="5">
        <f>COUNTIFS('Bug List'!$B$2:$B$25,$A14,'Bug List'!$C$2:$C$25,B$6)</f>
        <v/>
      </c>
      <c r="C14" s="5">
        <f>COUNTIFS('Bug List'!$B$2:$B$25,$A14,'Bug List'!$C$2:$C$25,C$6)</f>
        <v/>
      </c>
      <c r="D14" s="5">
        <f>COUNTIFS('Bug List'!$B$2:$B$25,$A14,'Bug List'!$C$2:$C$25,D$6)</f>
        <v/>
      </c>
      <c r="E14" s="5">
        <f>COUNTIFS('Bug List'!$B$2:$B$25,$A14,'Bug List'!$C$2:$C$25,E$6)</f>
        <v/>
      </c>
      <c r="F14" s="5">
        <f>SUM(B14:E14)</f>
        <v/>
      </c>
    </row>
    <row r="15">
      <c r="A15" s="4" t="inlineStr">
        <is>
          <t>Intro 9 (trust)</t>
        </is>
      </c>
      <c r="B15" s="5">
        <f>COUNTIFS('Bug List'!$B$2:$B$25,$A15,'Bug List'!$C$2:$C$25,B$6)</f>
        <v/>
      </c>
      <c r="C15" s="5">
        <f>COUNTIFS('Bug List'!$B$2:$B$25,$A15,'Bug List'!$C$2:$C$25,C$6)</f>
        <v/>
      </c>
      <c r="D15" s="5">
        <f>COUNTIFS('Bug List'!$B$2:$B$25,$A15,'Bug List'!$C$2:$C$25,D$6)</f>
        <v/>
      </c>
      <c r="E15" s="5">
        <f>COUNTIFS('Bug List'!$B$2:$B$25,$A15,'Bug List'!$C$2:$C$25,E$6)</f>
        <v/>
      </c>
      <c r="F15" s="5">
        <f>SUM(B15:E15)</f>
        <v/>
      </c>
    </row>
    <row r="16">
      <c r="A16" s="4" t="inlineStr">
        <is>
          <t>Intro 10 (loader)</t>
        </is>
      </c>
      <c r="B16" s="5">
        <f>COUNTIFS('Bug List'!$B$2:$B$25,$A16,'Bug List'!$C$2:$C$25,B$6)</f>
        <v/>
      </c>
      <c r="C16" s="5">
        <f>COUNTIFS('Bug List'!$B$2:$B$25,$A16,'Bug List'!$C$2:$C$25,C$6)</f>
        <v/>
      </c>
      <c r="D16" s="5">
        <f>COUNTIFS('Bug List'!$B$2:$B$25,$A16,'Bug List'!$C$2:$C$25,D$6)</f>
        <v/>
      </c>
      <c r="E16" s="5">
        <f>COUNTIFS('Bug List'!$B$2:$B$25,$A16,'Bug List'!$C$2:$C$25,E$6)</f>
        <v/>
      </c>
      <c r="F16" s="5">
        <f>SUM(B16:E16)</f>
        <v/>
      </c>
    </row>
    <row r="17">
      <c r="A17" s="4" t="inlineStr">
        <is>
          <t>Intro 11 (story_reveal)</t>
        </is>
      </c>
      <c r="B17" s="5">
        <f>COUNTIFS('Bug List'!$B$2:$B$25,$A17,'Bug List'!$C$2:$C$25,B$6)</f>
        <v/>
      </c>
      <c r="C17" s="5">
        <f>COUNTIFS('Bug List'!$B$2:$B$25,$A17,'Bug List'!$C$2:$C$25,C$6)</f>
        <v/>
      </c>
      <c r="D17" s="5">
        <f>COUNTIFS('Bug List'!$B$2:$B$25,$A17,'Bug List'!$C$2:$C$25,D$6)</f>
        <v/>
      </c>
      <c r="E17" s="5">
        <f>COUNTIFS('Bug List'!$B$2:$B$25,$A17,'Bug List'!$C$2:$C$25,E$6)</f>
        <v/>
      </c>
      <c r="F17" s="5">
        <f>SUM(B17:E17)</f>
        <v/>
      </c>
    </row>
    <row r="18">
      <c r="A18" s="4" t="inlineStr">
        <is>
          <t>Intro 12 (scene_turn_1)</t>
        </is>
      </c>
      <c r="B18" s="5">
        <f>COUNTIFS('Bug List'!$B$2:$B$25,$A18,'Bug List'!$C$2:$C$25,B$6)</f>
        <v/>
      </c>
      <c r="C18" s="5">
        <f>COUNTIFS('Bug List'!$B$2:$B$25,$A18,'Bug List'!$C$2:$C$25,C$6)</f>
        <v/>
      </c>
      <c r="D18" s="5">
        <f>COUNTIFS('Bug List'!$B$2:$B$25,$A18,'Bug List'!$C$2:$C$25,D$6)</f>
        <v/>
      </c>
      <c r="E18" s="5">
        <f>COUNTIFS('Bug List'!$B$2:$B$25,$A18,'Bug List'!$C$2:$C$25,E$6)</f>
        <v/>
      </c>
      <c r="F18" s="5">
        <f>SUM(B18:E18)</f>
        <v/>
      </c>
    </row>
    <row r="19">
      <c r="A19" s="4" t="inlineStr">
        <is>
          <t>Intro 13 (scene_turn_2)</t>
        </is>
      </c>
      <c r="B19" s="5">
        <f>COUNTIFS('Bug List'!$B$2:$B$25,$A19,'Bug List'!$C$2:$C$25,B$6)</f>
        <v/>
      </c>
      <c r="C19" s="5">
        <f>COUNTIFS('Bug List'!$B$2:$B$25,$A19,'Bug List'!$C$2:$C$25,C$6)</f>
        <v/>
      </c>
      <c r="D19" s="5">
        <f>COUNTIFS('Bug List'!$B$2:$B$25,$A19,'Bug List'!$C$2:$C$25,D$6)</f>
        <v/>
      </c>
      <c r="E19" s="5">
        <f>COUNTIFS('Bug List'!$B$2:$B$25,$A19,'Bug List'!$C$2:$C$25,E$6)</f>
        <v/>
      </c>
      <c r="F19" s="5">
        <f>SUM(B19:E19)</f>
        <v/>
      </c>
    </row>
    <row r="20">
      <c r="A20" s="4" t="inlineStr">
        <is>
          <t>Intro 14 (cliffhanger)</t>
        </is>
      </c>
      <c r="B20" s="5">
        <f>COUNTIFS('Bug List'!$B$2:$B$25,$A20,'Bug List'!$C$2:$C$25,B$6)</f>
        <v/>
      </c>
      <c r="C20" s="5">
        <f>COUNTIFS('Bug List'!$B$2:$B$25,$A20,'Bug List'!$C$2:$C$25,C$6)</f>
        <v/>
      </c>
      <c r="D20" s="5">
        <f>COUNTIFS('Bug List'!$B$2:$B$25,$A20,'Bug List'!$C$2:$C$25,D$6)</f>
        <v/>
      </c>
      <c r="E20" s="5">
        <f>COUNTIFS('Bug List'!$B$2:$B$25,$A20,'Bug List'!$C$2:$C$25,E$6)</f>
        <v/>
      </c>
      <c r="F20" s="5">
        <f>SUM(B20:E20)</f>
        <v/>
      </c>
    </row>
    <row r="21">
      <c r="A21" s="4" t="inlineStr">
        <is>
          <t>Intro 15 (save_story)</t>
        </is>
      </c>
      <c r="B21" s="5">
        <f>COUNTIFS('Bug List'!$B$2:$B$25,$A21,'Bug List'!$C$2:$C$25,B$6)</f>
        <v/>
      </c>
      <c r="C21" s="5">
        <f>COUNTIFS('Bug List'!$B$2:$B$25,$A21,'Bug List'!$C$2:$C$25,C$6)</f>
        <v/>
      </c>
      <c r="D21" s="5">
        <f>COUNTIFS('Bug List'!$B$2:$B$25,$A21,'Bug List'!$C$2:$C$25,D$6)</f>
        <v/>
      </c>
      <c r="E21" s="5">
        <f>COUNTIFS('Bug List'!$B$2:$B$25,$A21,'Bug List'!$C$2:$C$25,E$6)</f>
        <v/>
      </c>
      <c r="F21" s="5">
        <f>SUM(B21:E21)</f>
        <v/>
      </c>
    </row>
    <row r="22">
      <c r="A22" s="4" t="inlineStr">
        <is>
          <t>Paywall 1 (paywall)</t>
        </is>
      </c>
      <c r="B22" s="5">
        <f>COUNTIFS('Bug List'!$B$2:$B$25,$A22,'Bug List'!$C$2:$C$25,B$6)</f>
        <v/>
      </c>
      <c r="C22" s="5">
        <f>COUNTIFS('Bug List'!$B$2:$B$25,$A22,'Bug List'!$C$2:$C$25,C$6)</f>
        <v/>
      </c>
      <c r="D22" s="5">
        <f>COUNTIFS('Bug List'!$B$2:$B$25,$A22,'Bug List'!$C$2:$C$25,D$6)</f>
        <v/>
      </c>
      <c r="E22" s="5">
        <f>COUNTIFS('Bug List'!$B$2:$B$25,$A22,'Bug List'!$C$2:$C$25,E$6)</f>
        <v/>
      </c>
      <c r="F22" s="5">
        <f>SUM(B22:E22)</f>
        <v/>
      </c>
    </row>
    <row r="23">
      <c r="A23" s="4" t="inlineStr">
        <is>
          <t>Paywall 2 (sale) (sale_m1)</t>
        </is>
      </c>
      <c r="B23" s="5">
        <f>COUNTIFS('Bug List'!$B$2:$B$25,$A23,'Bug List'!$C$2:$C$25,B$6)</f>
        <v/>
      </c>
      <c r="C23" s="5">
        <f>COUNTIFS('Bug List'!$B$2:$B$25,$A23,'Bug List'!$C$2:$C$25,C$6)</f>
        <v/>
      </c>
      <c r="D23" s="5">
        <f>COUNTIFS('Bug List'!$B$2:$B$25,$A23,'Bug List'!$C$2:$C$25,D$6)</f>
        <v/>
      </c>
      <c r="E23" s="5">
        <f>COUNTIFS('Bug List'!$B$2:$B$25,$A23,'Bug List'!$C$2:$C$25,E$6)</f>
        <v/>
      </c>
      <c r="F23" s="5">
        <f>SUM(B23:E23)</f>
        <v/>
      </c>
    </row>
    <row r="24">
      <c r="A24" s="4" t="inlineStr">
        <is>
          <t>Paywall 3 (sale) (sale_m3)</t>
        </is>
      </c>
      <c r="B24" s="5">
        <f>COUNTIFS('Bug List'!$B$2:$B$25,$A24,'Bug List'!$C$2:$C$25,B$6)</f>
        <v/>
      </c>
      <c r="C24" s="5">
        <f>COUNTIFS('Bug List'!$B$2:$B$25,$A24,'Bug List'!$C$2:$C$25,C$6)</f>
        <v/>
      </c>
      <c r="D24" s="5">
        <f>COUNTIFS('Bug List'!$B$2:$B$25,$A24,'Bug List'!$C$2:$C$25,D$6)</f>
        <v/>
      </c>
      <c r="E24" s="5">
        <f>COUNTIFS('Bug List'!$B$2:$B$25,$A24,'Bug List'!$C$2:$C$25,E$6)</f>
        <v/>
      </c>
      <c r="F24" s="5">
        <f>SUM(B24:E24)</f>
        <v/>
      </c>
    </row>
    <row r="25">
      <c r="A25" s="4" t="inlineStr">
        <is>
          <t>Paywall 4 (sale) (sale_y12)</t>
        </is>
      </c>
      <c r="B25" s="5">
        <f>COUNTIFS('Bug List'!$B$2:$B$25,$A25,'Bug List'!$C$2:$C$25,B$6)</f>
        <v/>
      </c>
      <c r="C25" s="5">
        <f>COUNTIFS('Bug List'!$B$2:$B$25,$A25,'Bug List'!$C$2:$C$25,C$6)</f>
        <v/>
      </c>
      <c r="D25" s="5">
        <f>COUNTIFS('Bug List'!$B$2:$B$25,$A25,'Bug List'!$C$2:$C$25,D$6)</f>
        <v/>
      </c>
      <c r="E25" s="5">
        <f>COUNTIFS('Bug List'!$B$2:$B$25,$A25,'Bug List'!$C$2:$C$25,E$6)</f>
        <v/>
      </c>
      <c r="F25" s="5">
        <f>SUM(B25:E25)</f>
        <v/>
      </c>
    </row>
    <row r="26">
      <c r="A26" s="4" t="inlineStr">
        <is>
          <t>Paywall 5 (sale) (sale_lifetime)</t>
        </is>
      </c>
      <c r="B26" s="5">
        <f>COUNTIFS('Bug List'!$B$2:$B$25,$A26,'Bug List'!$C$2:$C$25,B$6)</f>
        <v/>
      </c>
      <c r="C26" s="5">
        <f>COUNTIFS('Bug List'!$B$2:$B$25,$A26,'Bug List'!$C$2:$C$25,C$6)</f>
        <v/>
      </c>
      <c r="D26" s="5">
        <f>COUNTIFS('Bug List'!$B$2:$B$25,$A26,'Bug List'!$C$2:$C$25,D$6)</f>
        <v/>
      </c>
      <c r="E26" s="5">
        <f>COUNTIFS('Bug List'!$B$2:$B$25,$A26,'Bug List'!$C$2:$C$25,E$6)</f>
        <v/>
      </c>
      <c r="F26" s="5">
        <f>SUM(B26:E26)</f>
        <v/>
      </c>
    </row>
    <row r="27">
      <c r="A27" s="4" t="inlineStr">
        <is>
          <t>Upsale 1 (upsell_lifetime)</t>
        </is>
      </c>
      <c r="B27" s="5">
        <f>COUNTIFS('Bug List'!$B$2:$B$25,$A27,'Bug List'!$C$2:$C$25,B$6)</f>
        <v/>
      </c>
      <c r="C27" s="5">
        <f>COUNTIFS('Bug List'!$B$2:$B$25,$A27,'Bug List'!$C$2:$C$25,C$6)</f>
        <v/>
      </c>
      <c r="D27" s="5">
        <f>COUNTIFS('Bug List'!$B$2:$B$25,$A27,'Bug List'!$C$2:$C$25,D$6)</f>
        <v/>
      </c>
      <c r="E27" s="5">
        <f>COUNTIFS('Bug List'!$B$2:$B$25,$A27,'Bug List'!$C$2:$C$25,E$6)</f>
        <v/>
      </c>
      <c r="F27" s="5">
        <f>SUM(B27:E27)</f>
        <v/>
      </c>
    </row>
    <row r="28">
      <c r="A28" s="4" t="inlineStr">
        <is>
          <t>Download App (get_app)</t>
        </is>
      </c>
      <c r="B28" s="5">
        <f>COUNTIFS('Bug List'!$B$2:$B$25,$A28,'Bug List'!$C$2:$C$25,B$6)</f>
        <v/>
      </c>
      <c r="C28" s="5">
        <f>COUNTIFS('Bug List'!$B$2:$B$25,$A28,'Bug List'!$C$2:$C$25,C$6)</f>
        <v/>
      </c>
      <c r="D28" s="5">
        <f>COUNTIFS('Bug List'!$B$2:$B$25,$A28,'Bug List'!$C$2:$C$25,D$6)</f>
        <v/>
      </c>
      <c r="E28" s="5">
        <f>COUNTIFS('Bug List'!$B$2:$B$25,$A28,'Bug List'!$C$2:$C$25,E$6)</f>
        <v/>
      </c>
      <c r="F28" s="5">
        <f>SUM(B28:E28)</f>
        <v/>
      </c>
    </row>
    <row r="29">
      <c r="A29" s="6" t="inlineStr">
        <is>
          <t>Tổng</t>
        </is>
      </c>
      <c r="B29" s="7">
        <f>SUM(B7:B28)</f>
        <v/>
      </c>
      <c r="C29" s="7">
        <f>SUM(C7:C28)</f>
        <v/>
      </c>
      <c r="D29" s="7">
        <f>SUM(D7:D28)</f>
        <v/>
      </c>
      <c r="E29" s="7">
        <f>SUM(E7:E28)</f>
        <v/>
      </c>
      <c r="F29" s="7">
        <f>SUM(F7:F28)</f>
        <v/>
      </c>
    </row>
    <row r="31">
      <c r="A31" s="3" t="inlineStr">
        <is>
          <t>Severity</t>
        </is>
      </c>
      <c r="B31" s="3" t="inlineStr">
        <is>
          <t>Số bug</t>
        </is>
      </c>
    </row>
    <row r="32">
      <c r="A32" s="8" t="inlineStr">
        <is>
          <t>Critical</t>
        </is>
      </c>
      <c r="B32" s="9">
        <f>COUNTIF('Bug List'!$D$2:$D$25,A32)</f>
        <v/>
      </c>
    </row>
    <row r="33">
      <c r="A33" s="10" t="inlineStr">
        <is>
          <t>High</t>
        </is>
      </c>
      <c r="B33" s="9">
        <f>COUNTIF('Bug List'!$D$2:$D$25,A33)</f>
        <v/>
      </c>
    </row>
    <row r="34">
      <c r="A34" s="11" t="inlineStr">
        <is>
          <t>Medium</t>
        </is>
      </c>
      <c r="B34" s="9">
        <f>COUNTIF('Bug List'!$D$2:$D$25,A34)</f>
        <v/>
      </c>
    </row>
    <row r="35">
      <c r="A35" s="12" t="inlineStr">
        <is>
          <t>Low</t>
        </is>
      </c>
      <c r="B35" s="9">
        <f>COUNTIF('Bug List'!$D$2:$D$25,A35)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 (hook)</t>
        </is>
      </c>
      <c r="C2" s="5" t="inlineStr">
        <is>
          <t>[UI][Responsive]</t>
        </is>
      </c>
      <c r="D2" s="13" t="inlineStr">
        <is>
          <t>Low</t>
        </is>
      </c>
      <c r="E2" s="14" t="inlineStr">
        <is>
          <t>[UI][Responsive][Intro 1] Khoảng trống lớn giữa fan card và CTA, nhất là ở màn lớn</t>
        </is>
      </c>
      <c r="F2" s="14" t="inlineStr">
        <is>
          <t>- Ở Intro 1 (hook), fan 5 card genre nằm ngay dưới headline, phía dưới là vùng trống tối rất lớn tới CTA "Start my story" ghim đáy (430×932: khoảng một nửa màn trống; 375×667 cũng còn khoảng trống rõ).</t>
        </is>
      </c>
      <c r="G2" s="14" t="inlineStr">
        <is>
          <t>- Spec #1: storybook ở giữa màn "cracks open and spills five small genre scenes"; vị trí/khoảng cách cụ thể Spec chưa định nghĩa – cần PM/Designer confirm. Cần đối chiếu Figma.</t>
        </is>
      </c>
      <c r="H2" s="14" t="inlineStr">
        <is>
          <t>Screenshot/Video: screens/01-hook-large.png, screens/01-hook-small.png</t>
        </is>
      </c>
    </row>
    <row r="3">
      <c r="A3" s="5" t="n">
        <v>2</v>
      </c>
      <c r="B3" s="5" t="inlineStr">
        <is>
          <t>Intro 1 (hook)</t>
        </is>
      </c>
      <c r="C3" s="5" t="inlineStr">
        <is>
          <t>[UI]</t>
        </is>
      </c>
      <c r="D3" s="13" t="inlineStr">
        <is>
          <t>Low</t>
        </is>
      </c>
      <c r="E3" s="14" t="inlineStr">
        <is>
          <t>[UI][Intro 1] Thiếu tag "AI roleplay" trên đầu màn hook</t>
        </is>
      </c>
      <c r="F3" s="14" t="inlineStr">
        <is>
          <t>- Đầu Intro 1 (hook) chỉ có logo ChatChi, headline và body; không có tag "AI roleplay" (small và large).</t>
        </is>
      </c>
      <c r="G3" s="14" t="inlineStr">
        <is>
          <t>- Spec #1 Visual: "Logo and a slim "AI roleplay" tag on top".</t>
        </is>
      </c>
      <c r="H3" s="14" t="inlineStr">
        <is>
          <t>Screenshot/Video: screens/01-hook-small.png, screens/01-hook-large.png</t>
        </is>
      </c>
    </row>
    <row r="4">
      <c r="A4" s="5" t="n">
        <v>3</v>
      </c>
      <c r="B4" s="5" t="inlineStr">
        <is>
          <t>Intro 2 (age_gate)</t>
        </is>
      </c>
      <c r="C4" s="5" t="inlineStr">
        <is>
          <t>[UI/UX]</t>
        </is>
      </c>
      <c r="D4" s="15" t="inlineStr">
        <is>
          <t>Medium</t>
        </is>
      </c>
      <c r="E4" s="14" t="inlineStr">
        <is>
          <t>[UI/UX][Intro 2] Link "Terms of Service" / "Privacy Policy" có tap target quá nhỏ (lặp ở Intro 9, 15, Paywall 1–5, Upsale 1)</t>
        </is>
      </c>
      <c r="F4" s="14" t="inlineStr">
        <is>
          <t>- Ở Intro 2 (age_gate) link "Terms of Service" / "Privacy Policy" chỉ cao khoảng 14px (auto-check 93×14, 76×14). Cùng lỗi ở Intro 9 (trust) và Intro 15 (save_story) "Terms" / "Privacy" 34×14 / 40×14, Paywall 1 (paywall) footer "Terms of Use" / "Privacy Policy" / "support@chatchi.co" 73×14 / 76×14 / 110×14, Paywall 2–5 và Upsale 1 "Terms of Use" / "Privacy Policy" 73×14 / 76×14, trên cả small và large. Chọn Medium vì link vẫn bấm được nhưng khó bấm.</t>
        </is>
      </c>
      <c r="G4" s="14" t="inlineStr">
        <is>
          <t>- Tap target tối thiểu 44pt theo Apple HIG – cần Designer confirm.</t>
        </is>
      </c>
      <c r="H4" s="14" t="inlineStr">
        <is>
          <t>Screenshot/Video: screens/02-age_gate-small.png, screens/09-trust-small.png, screens/16-save_story-small.png, screens/17-paywall-small-p7.png, screens/20-sale_m1-small-p2.png</t>
        </is>
      </c>
    </row>
    <row r="5">
      <c r="A5" s="5" t="n">
        <v>4</v>
      </c>
      <c r="B5" s="5" t="inlineStr">
        <is>
          <t>Intro 2 (age_gate)</t>
        </is>
      </c>
      <c r="C5" s="5" t="inlineStr">
        <is>
          <t>[UI]</t>
        </is>
      </c>
      <c r="D5" s="13" t="inlineStr">
        <is>
          <t>Low</t>
        </is>
      </c>
      <c r="E5" s="14" t="inlineStr">
        <is>
          <t>[UI][Intro 2] Age gate không có nền storybook mờ và surface box như brief</t>
        </is>
      </c>
      <c r="F5" s="14" t="inlineStr">
        <is>
          <t>- Intro 2 (age_gate) hiển thị Month/Year select và legal trên nền tối trơn, không có ảnh storybook mờ phía sau và không có surface box bao select; phần giữa màn trống tới CTA "Continue" ở đáy.</t>
        </is>
      </c>
      <c r="G5" s="14" t="inlineStr">
        <is>
          <t>- Spec #2 Visual: "Dimmed storybook cover behind a rounded `surface` box holding the year select." Cần đối chiếu Figma.</t>
        </is>
      </c>
      <c r="H5" s="14" t="inlineStr">
        <is>
          <t>Screenshot/Video: screens/02-age_gate-small.png, screens/02-age_gate-large.png</t>
        </is>
      </c>
    </row>
    <row r="6">
      <c r="A6" s="16" t="inlineStr"/>
      <c r="B6" s="16" t="inlineStr">
        <is>
          <t>Intro 3 (genre)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5" t="n">
        <v>5</v>
      </c>
      <c r="B7" s="5" t="inlineStr">
        <is>
          <t>Intro 4 (role)</t>
        </is>
      </c>
      <c r="C7" s="5" t="inlineStr">
        <is>
          <t>[UI]</t>
        </is>
      </c>
      <c r="D7" s="13" t="inlineStr">
        <is>
          <t>Low</t>
        </is>
      </c>
      <c r="E7" s="14" t="inlineStr">
        <is>
          <t>[UI][Intro 4] Option role / setting / tone dựng đơn giản hơn brief (lặp ở Intro 5, Intro 7)</t>
        </is>
      </c>
      <c r="F7" s="14" t="inlineStr">
        <is>
          <t>- Intro 4 (role) dùng emoji (🦸 ⚔️ 🧳) thay cho silhouette icon tô màu genre; Intro 5 (setting) xếp 3 card dọc thay vì hàng swipe ngang; Intro 7 (tone) là 3 hàng emoji (😄 🌑 ⚡) thay vì card mini storybook theo mood. Small và large giống nhau.</t>
        </is>
      </c>
      <c r="G7" s="14" t="inlineStr">
        <is>
          <t>- Spec #4: "small silhouette icon each, tinted in the genre accent"; #5: "Three tall setting cards stacked as a horizontal swipe row"; #7: "Three large cards, each with a mini storybook spread in a different mood". Cần đối chiếu Figma.</t>
        </is>
      </c>
      <c r="H7" s="14" t="inlineStr">
        <is>
          <t>Screenshot/Video: screens/04-role-small.png, screens/05-setting-small.png, screens/07-tone-small.png</t>
        </is>
      </c>
    </row>
    <row r="8">
      <c r="A8" s="5" t="n">
        <v>6</v>
      </c>
      <c r="B8" s="5" t="inlineStr">
        <is>
          <t>Intro 5 (setting)</t>
        </is>
      </c>
      <c r="C8" s="5" t="inlineStr">
        <is>
          <t>[UI]</t>
        </is>
      </c>
      <c r="D8" s="15" t="inlineStr">
        <is>
          <t>Medium</t>
        </is>
      </c>
      <c r="E8" s="14" t="inlineStr">
        <is>
          <t>[UI][Intro 5] Ba card setting dùng cùng một ảnh lâu đài</t>
        </is>
      </c>
      <c r="F8" s="14" t="inlineStr">
        <is>
          <t>- Ở Intro 5 (setting) genre Fantasy, cả 3 card "Ember Keep", "Whisperwood", "Drowned Harbour" đều dùng chung ảnh lâu đài của Ember Keep, chỉ khác tên và emoji, trên cả small và large; user không phân biệt được 3 địa điểm bằng hình.</t>
        </is>
      </c>
      <c r="G8" s="14" t="inlineStr">
        <is>
          <t>- Spec #5: "each a painted scene in the genre palette" → mỗi setting cần ảnh riêng (rừng cho Whisperwood, bến cảng cho Drowned Harbour).</t>
        </is>
      </c>
      <c r="H8" s="14" t="inlineStr">
        <is>
          <t>Screenshot/Video: screens/05-setting-small.png, screens/05-setting-large.png</t>
        </is>
      </c>
    </row>
    <row r="9">
      <c r="A9" s="5" t="n">
        <v>7</v>
      </c>
      <c r="B9" s="5" t="inlineStr">
        <is>
          <t>Intro 6 (companion)</t>
        </is>
      </c>
      <c r="C9" s="5" t="inlineStr">
        <is>
          <t>[UI]</t>
        </is>
      </c>
      <c r="D9" s="15" t="inlineStr">
        <is>
          <t>Medium</t>
        </is>
      </c>
      <c r="E9" s="14" t="inlineStr">
        <is>
          <t>[UI][Intro 6] Portrait companion là emoji placeholder (lặp ở Intro 8, 11–13, Paywall 1–5, Upsale 1, card cliffhanger Intro 14)</t>
        </is>
      </c>
      <c r="F9" s="14" t="inlineStr">
        <is>
          <t>- Ở Intro 6 (companion) avatar của Kael / Mira / Fenn là emoji khiên 🛡 / quả cầu 🔮 / sói 🐺 trong vòng tròn vàng, không phải portrait nhân vật. Avatar emoji khiên này lặp ở Intro 8 (character_name), Intro 11 (story_reveal), header chat Intro 12–13, hero Paywall 1, Paywall 2–5 và Upsale 1; scene card lật ra ở Intro 14 (cliffhanger) cũng chỉ là emoji rồng 🐉.</t>
        </is>
      </c>
      <c r="G9" s="14" t="inlineStr">
        <is>
          <t>- Spec #6: "Three portrait cards (illustrated, adult, clothed) with a name plate"; spec Notes xác nhận ảnh hiện là placeholder chờ `gen_images.py` → cần art thật trước khi chạy ads.</t>
        </is>
      </c>
      <c r="H9" s="14" t="inlineStr">
        <is>
          <t>Screenshot/Video: screens/06-companion-small.png, screens/08-character_name-small.png, screens/17-paywall-small-p1.png, screens/20-sale_m1-small-p1.png</t>
        </is>
      </c>
    </row>
    <row r="10">
      <c r="A10" s="16" t="inlineStr"/>
      <c r="B10" s="16" t="inlineStr">
        <is>
          <t>Intro 7 (tone)</t>
        </is>
      </c>
      <c r="C10" s="16" t="inlineStr"/>
      <c r="D10" s="16" t="inlineStr"/>
      <c r="E10" s="17" t="inlineStr">
        <is>
          <t>Không phát hiện lỗi</t>
        </is>
      </c>
      <c r="F10" s="17" t="inlineStr"/>
      <c r="G10" s="17" t="inlineStr"/>
      <c r="H10" s="17" t="inlineStr"/>
    </row>
    <row r="11">
      <c r="A11" s="16" t="inlineStr"/>
      <c r="B11" s="16" t="inlineStr">
        <is>
          <t>Intro 8 (character_name)</t>
        </is>
      </c>
      <c r="C11" s="16" t="inlineStr"/>
      <c r="D11" s="16" t="inlineStr"/>
      <c r="E11" s="17" t="inlineStr">
        <is>
          <t>Không phát hiện lỗi</t>
        </is>
      </c>
      <c r="F11" s="17" t="inlineStr"/>
      <c r="G11" s="17" t="inlineStr"/>
      <c r="H11" s="17" t="inlineStr"/>
    </row>
    <row r="12">
      <c r="A12" s="16" t="inlineStr"/>
      <c r="B12" s="16" t="inlineStr">
        <is>
          <t>Intro 9 (trust)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16" t="inlineStr"/>
      <c r="B13" s="16" t="inlineStr">
        <is>
          <t>Intro 10 (loader)</t>
        </is>
      </c>
      <c r="C13" s="16" t="inlineStr"/>
      <c r="D13" s="16" t="inlineStr"/>
      <c r="E13" s="17" t="inlineStr">
        <is>
          <t>Không phát hiện lỗi</t>
        </is>
      </c>
      <c r="F13" s="17" t="inlineStr"/>
      <c r="G13" s="17" t="inlineStr"/>
      <c r="H13" s="17" t="inlineStr"/>
    </row>
    <row r="14">
      <c r="A14" s="16" t="inlineStr"/>
      <c r="B14" s="16" t="inlineStr">
        <is>
          <t>Intro 11 (story_reveal)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16" t="inlineStr"/>
      <c r="B15" s="16" t="inlineStr">
        <is>
          <t>Intro 12 (scene_turn_1)</t>
        </is>
      </c>
      <c r="C15" s="16" t="inlineStr"/>
      <c r="D15" s="16" t="inlineStr"/>
      <c r="E15" s="17" t="inlineStr">
        <is>
          <t>Không phát hiện lỗi</t>
        </is>
      </c>
      <c r="F15" s="17" t="inlineStr"/>
      <c r="G15" s="17" t="inlineStr"/>
      <c r="H15" s="17" t="inlineStr"/>
    </row>
    <row r="16">
      <c r="A16" s="5" t="n">
        <v>8</v>
      </c>
      <c r="B16" s="5" t="inlineStr">
        <is>
          <t>Intro 13 (scene_turn_2)</t>
        </is>
      </c>
      <c r="C16" s="5" t="inlineStr">
        <is>
          <t>[UI]</t>
        </is>
      </c>
      <c r="D16" s="15" t="inlineStr">
        <is>
          <t>Medium</t>
        </is>
      </c>
      <c r="E16" s="14" t="inlineStr">
        <is>
          <t>[UI][Intro 13] Toast "Kael will remember: …" đè lên tên và trạng thái trên header chat</t>
        </is>
      </c>
      <c r="F16" s="14" t="inlineStr">
        <is>
          <t>- Khi vào Intro 13 (scene_turn_2), toast "Kael will remember: Draw your blade" hiện ở đầu màn và che mất tên "Kael" + "online · The Last Ember" trên header chat (chỉ còn thấy avatar), trên cả 375×667 và 430×932.</t>
        </is>
      </c>
      <c r="G16" s="14" t="inlineStr">
        <is>
          <t>- Spec #13: toast "slides in from a notebook icon"; không được overlap header/tên nhân vật. Vị trí toast Spec chưa định nghĩa – cần PM/Designer confirm.</t>
        </is>
      </c>
      <c r="H16" s="14" t="inlineStr">
        <is>
          <t>Screenshot/Video: screens/13-scene_turn_2-small.png, screens/13-scene_turn_2-large.png</t>
        </is>
      </c>
    </row>
    <row r="17">
      <c r="A17" s="16" t="inlineStr"/>
      <c r="B17" s="16" t="inlineStr">
        <is>
          <t>Intro 14 (cliffhanger)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Intro 15 (save_story)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5" t="n">
        <v>9</v>
      </c>
      <c r="B19" s="5" t="inlineStr">
        <is>
          <t>Paywall 1 (paywall)</t>
        </is>
      </c>
      <c r="C19" s="5" t="inlineStr">
        <is>
          <t>[UI/UX][Responsive]</t>
        </is>
      </c>
      <c r="D19" s="18" t="inlineStr">
        <is>
          <t>High</t>
        </is>
      </c>
      <c r="E19" s="14" t="inlineStr">
        <is>
          <t>[UI/UX][Responsive][Paywall 1] Màn nhỏ: first view không có CTA và sticky CTA chưa hiện</t>
        </is>
      </c>
      <c r="F19" s="14" t="inlineStr">
        <is>
          <t>- Mở Paywall 1 (paywall) ở 375×667: first view là hero art, headline "Your story, unlocked", chip picks và chỉ lộ mép trên plan "1 month $24.99"; không thấy CTA "Continue with 12 months" và sticky bottom bar "12 months · $119.99 today · Continue" không hiện (chỉ xuất hiện từ p3). Ở 430×932 thấy đủ 3 plan nhưng CTA vẫn nằm dưới fold.</t>
        </is>
      </c>
      <c r="G19" s="14" t="inlineStr">
        <is>
          <t>- Spec mục Sticky bottom CTA: bar chỉ ẩn khi plan block đang trên màn; ngưỡng "on screen" (chỉ mép trên plan block lọt vào màn) Spec chưa định nghĩa – cần PM/Designer confirm. Theo bảng Severity, CTA/giá cần thấy được ở first view màn nhỏ.</t>
        </is>
      </c>
      <c r="H19" s="14" t="inlineStr">
        <is>
          <t>Screenshot/Video: screens/17-paywall-small-p1.png, screens/17-paywall-small-p3.png, screens/17-paywall-large-p1.png, screens/walk-end-paywall (paywall).png</t>
        </is>
      </c>
    </row>
    <row r="20">
      <c r="A20" s="5" t="n">
        <v>10</v>
      </c>
      <c r="B20" s="5" t="inlineStr">
        <is>
          <t>Paywall 2 (sale) (sale_m1)</t>
        </is>
      </c>
      <c r="C20" s="5" t="inlineStr">
        <is>
          <t>[UI]</t>
        </is>
      </c>
      <c r="D20" s="13" t="inlineStr">
        <is>
          <t>Low</t>
        </is>
      </c>
      <c r="E20" s="14" t="inlineStr">
        <is>
          <t>[UI][Paywall 2] Top bar màn sale không có nền đặc, text cuộn lộ dưới logo (lặp ở Paywall 3–5, Upsale 1)</t>
        </is>
      </c>
      <c r="F20" s="14" t="inlineStr">
        <is>
          <t>- Khi cuộn Paywall 2 (sale_m1) ở 375×667, phần subtitle trôi vào vùng top bar ngay dưới logo ChatChi + nút X; rõ nhất ở Paywall 5 (sale_lifetime) title "Keep The Last Ember forever" đè dưới logo và Upsale 1 (upsell_lifetime) eyebrow "You're in · one more thing" lộ dưới logo. Paywall 1 (paywall) có top bar nền đặc + divider.</t>
        </is>
      </c>
      <c r="G20" s="14" t="inlineStr">
        <is>
          <t>- Spec: sale/lifetime/add-on dùng "Same web look as the paywall: top bar with the ChatChi logo and close X" → top bar nền đặc + divider như Paywall 1. Cần đối chiếu Figma.</t>
        </is>
      </c>
      <c r="H20" s="14" t="inlineStr">
        <is>
          <t>Screenshot/Video: screens/20-sale_m1-small-p2.png, screens/23-sale_lifetime-small-p2.png, screens/24-upsell_lifetime-small-p2.png</t>
        </is>
      </c>
    </row>
    <row r="21">
      <c r="A21" s="16" t="inlineStr"/>
      <c r="B21" s="16" t="inlineStr">
        <is>
          <t>Paywall 3 (sale) (sale_m3)</t>
        </is>
      </c>
      <c r="C21" s="16" t="inlineStr"/>
      <c r="D21" s="16" t="inlineStr"/>
      <c r="E21" s="17" t="inlineStr">
        <is>
          <t>Không phát hiện lỗi</t>
        </is>
      </c>
      <c r="F21" s="17" t="inlineStr"/>
      <c r="G21" s="17" t="inlineStr"/>
      <c r="H21" s="17" t="inlineStr"/>
    </row>
    <row r="22">
      <c r="A22" s="16" t="inlineStr"/>
      <c r="B22" s="16" t="inlineStr">
        <is>
          <t>Paywall 4 (sale) (sale_y12)</t>
        </is>
      </c>
      <c r="C22" s="16" t="inlineStr"/>
      <c r="D22" s="16" t="inlineStr"/>
      <c r="E22" s="17" t="inlineStr">
        <is>
          <t>Không phát hiện lỗi</t>
        </is>
      </c>
      <c r="F22" s="17" t="inlineStr"/>
      <c r="G22" s="17" t="inlineStr"/>
      <c r="H22" s="17" t="inlineStr"/>
    </row>
    <row r="23">
      <c r="A23" s="16" t="inlineStr"/>
      <c r="B23" s="16" t="inlineStr">
        <is>
          <t>Paywall 5 (sale) (sale_lifetime)</t>
        </is>
      </c>
      <c r="C23" s="16" t="inlineStr"/>
      <c r="D23" s="16" t="inlineStr"/>
      <c r="E23" s="17" t="inlineStr">
        <is>
          <t>Không phát hiện lỗi</t>
        </is>
      </c>
      <c r="F23" s="17" t="inlineStr"/>
      <c r="G23" s="17" t="inlineStr"/>
      <c r="H23" s="17" t="inlineStr"/>
    </row>
    <row r="24">
      <c r="A24" s="16" t="inlineStr"/>
      <c r="B24" s="16" t="inlineStr">
        <is>
          <t>Upsale 1 (upsell_lifetime)</t>
        </is>
      </c>
      <c r="C24" s="16" t="inlineStr"/>
      <c r="D24" s="16" t="inlineStr"/>
      <c r="E24" s="17" t="inlineStr">
        <is>
          <t>Không phát hiện lỗi</t>
        </is>
      </c>
      <c r="F24" s="17" t="inlineStr"/>
      <c r="G24" s="17" t="inlineStr"/>
      <c r="H24" s="17" t="inlineStr"/>
    </row>
    <row r="25">
      <c r="A25" s="5" t="n">
        <v>11</v>
      </c>
      <c r="B25" s="5" t="inlineStr">
        <is>
          <t>Download App (get_app)</t>
        </is>
      </c>
      <c r="C25" s="5" t="inlineStr">
        <is>
          <t>[UI]</t>
        </is>
      </c>
      <c r="D25" s="13" t="inlineStr">
        <is>
          <t>Low</t>
        </is>
      </c>
      <c r="E25" s="14" t="inlineStr">
        <is>
          <t>[UI][Download App] Badge App Store / Google Play không dùng artwork chính thức</t>
        </is>
      </c>
      <c r="F25" s="14" t="inlineStr">
        <is>
          <t>- Ở Download App (get_app), badge "Download on the App Store" dùng icon outline không phải logo Apple, badge "Get it on Google Play" dùng icon tam giác outline, trên cả small và large.</t>
        </is>
      </c>
      <c r="G25" s="14" t="inlineStr">
        <is>
          <t>- Spec Get the app: "App Store and Google Play badges". Badge nên dùng artwork chính thức theo guideline Apple/Google – cần Designer confirm.</t>
        </is>
      </c>
      <c r="H25" s="14" t="inlineStr">
        <is>
          <t>Screenshot/Video: screens/25-get_app-small.png, screens/25-get_app-large.png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2026-10-06T13:37:03Z</dcterms:created>
  <dcterms:modified xmlns:dcterms="http://purl.org/dc/terms/" xmlns:xsi="http://www.w3.org/2001/XMLSchema-instance" xsi:type="dcterms:W3CDTF">2026-10-06T13:37:03Z</dcterms:modified>
</cp:coreProperties>
</file>