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SKU" sheetId="2" state="visible" r:id="rId2"/>
    <sheet xmlns:r="http://schemas.openxmlformats.org/officeDocument/2006/relationships" name="Funnel-Plan" sheetId="3" state="visible" r:id="rId3"/>
    <sheet xmlns:r="http://schemas.openxmlformats.org/officeDocument/2006/relationships" name="Tham khao gia" sheetId="4" state="visible" r:id="rId4"/>
  </sheets>
  <definedNames>
    <definedName name="_xlnm._FilterDatabase" localSheetId="1" hidden="1">'SKU'!$A$3:$Q$11</definedName>
    <definedName name="_xlnm._FilterDatabase" localSheetId="2" hidden="1">'Funnel-Plan'!$A$3:$K$68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</font>
    <font>
      <name val="Arial"/>
      <b val="1"/>
      <sz val="13"/>
    </font>
    <font>
      <name val="Arial"/>
      <b val="1"/>
      <sz val="11"/>
    </font>
    <font>
      <name val="Arial"/>
      <color rgb="000000FF"/>
    </font>
    <font>
      <name val="Arial"/>
      <i val="1"/>
    </font>
    <font>
      <name val="Arial"/>
      <b val="1"/>
      <color rgb="00FFFFFF"/>
    </font>
    <font>
      <name val="Arial"/>
      <b val="1"/>
      <color rgb="00C00000"/>
    </font>
    <font>
      <name val="Arial"/>
      <color rgb="00008000"/>
    </font>
    <font>
      <name val="Arial"/>
      <b val="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CE4EC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top" wrapText="1"/>
    </xf>
    <xf numFmtId="2" fontId="1" fillId="4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164" fontId="1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164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vertical="top" wrapText="1"/>
    </xf>
    <xf numFmtId="2" fontId="1" fillId="5" borderId="1" applyAlignment="1" pivotButton="0" quotePrefix="0" xfId="0">
      <alignment vertical="top" wrapText="1"/>
    </xf>
    <xf numFmtId="164" fontId="1" fillId="5" borderId="1" applyAlignment="1" pivotButton="0" quotePrefix="0" xfId="0">
      <alignment vertical="top" wrapText="1"/>
    </xf>
    <xf numFmtId="0" fontId="1" fillId="4" borderId="1" pivotButton="0" quotePrefix="0" xfId="0"/>
    <xf numFmtId="164" fontId="8" fillId="4" borderId="1" pivotButton="0" quotePrefix="0" xfId="0"/>
    <xf numFmtId="0" fontId="8" fillId="4" borderId="1" pivotButton="0" quotePrefix="0" xfId="0"/>
    <xf numFmtId="0" fontId="1" fillId="2" borderId="1" pivotButton="0" quotePrefix="0" xfId="0"/>
    <xf numFmtId="0" fontId="9" fillId="4" borderId="1" pivotButton="0" quotePrefix="0" xfId="0"/>
    <xf numFmtId="0" fontId="1" fillId="5" borderId="1" pivotButton="0" quotePrefix="0" xfId="0"/>
    <xf numFmtId="0" fontId="9" fillId="5" borderId="1" pivotButton="0" quotePrefix="0" xfId="0"/>
    <xf numFmtId="164" fontId="8" fillId="5" borderId="1" pivotButton="0" quotePrefix="0" xfId="0"/>
    <xf numFmtId="0" fontId="8" fillId="5" borderId="1" pivotButton="0" quotePrefix="0" xfId="0"/>
    <xf numFmtId="0" fontId="10" fillId="0" borderId="0" pivotButton="0" quotePrefix="0" xfId="0"/>
    <xf numFmtId="0" fontId="1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ORDER GÓI GIÁ: CHAI &amp; NEBULA (web funnel FunnelFox)</t>
        </is>
      </c>
      <c r="B1" s="2" t="n"/>
    </row>
    <row r="2">
      <c r="A2" s="3" t="inlineStr">
        <is>
          <t>Ngày tạo</t>
        </is>
      </c>
      <c r="B2" s="2" t="inlineStr">
        <is>
          <t>2026-10-05</t>
        </is>
      </c>
    </row>
    <row r="3">
      <c r="A3" s="3" t="inlineStr">
        <is>
          <t>Phạm vi</t>
        </is>
      </c>
      <c r="B3" s="2" t="inlineStr">
        <is>
          <t>17 funnel: 8 Chai + 9 Nebula, batch funnelfox-upload-2026-10-01 và 2026-10-02</t>
        </is>
      </c>
    </row>
    <row r="4">
      <c r="A4" s="3" t="inlineStr">
        <is>
          <t>Số SKU cần tạo</t>
        </is>
      </c>
      <c r="B4" s="2">
        <f>COUNTA(SKU!B4:B11)</f>
        <v/>
      </c>
    </row>
    <row r="5">
      <c r="A5" s="3" t="inlineStr">
        <is>
          <t xml:space="preserve">  trong đó Subscription</t>
        </is>
      </c>
      <c r="B5" s="2">
        <f>COUNTIF(SKU!E4:E11,"Subscription")</f>
        <v/>
      </c>
    </row>
    <row r="6">
      <c r="A6" s="3" t="inlineStr">
        <is>
          <t xml:space="preserve">  trong đó One-time</t>
        </is>
      </c>
      <c r="B6" s="2">
        <f>COUNTIF(SKU!E4:E11,"One-time*")</f>
        <v/>
      </c>
    </row>
    <row r="7">
      <c r="A7" s="3" t="n"/>
      <c r="B7" s="2" t="n"/>
    </row>
    <row r="8">
      <c r="A8" s="4" t="inlineStr">
        <is>
          <t>CÁCH ĐIỀN</t>
        </is>
      </c>
      <c r="B8" s="2" t="n"/>
    </row>
    <row r="9">
      <c r="A9" s="5" t="inlineStr">
        <is>
          <t>Ô nền vàng</t>
        </is>
      </c>
      <c r="B9" s="2" t="inlineStr">
        <is>
          <t>Ô cần điền. Chỉ điền giá thật mà checkout sẽ thu (USD, số, ví dụ 9.99).</t>
        </is>
      </c>
    </row>
    <row r="10">
      <c r="A10" s="3" t="inlineStr">
        <is>
          <t>Sheet SKU</t>
        </is>
      </c>
      <c r="B10" s="2" t="inlineStr">
        <is>
          <t>Mỗi dòng là một SKU cần tạo trên FunnelFox / Stripe / Paddle. Điền Giá kỳ đầu, Giá gia hạn, Product/Price ID và trạng thái.</t>
        </is>
      </c>
    </row>
    <row r="11">
      <c r="A11" s="3" t="inlineStr">
        <is>
          <t>Sheet Funnel-Plan</t>
        </is>
      </c>
      <c r="B11" s="2" t="inlineStr">
        <is>
          <t>Mỗi dòng là một gói trên paywall của một funnel. Giá tự kéo từ sheet SKU. Điền checkoutUrl rồi dán vào CONFIG.checkoutUrl / CONFIG.offer.checkoutUrl của file HTML.</t>
        </is>
      </c>
    </row>
    <row r="12">
      <c r="A12" s="3" t="inlineStr">
        <is>
          <t>Sheet Tham khao gia</t>
        </is>
      </c>
      <c r="B12" s="2" t="inlineStr">
        <is>
          <t>Giá đối thủ lấy từ research/competitor-pricing-ads-2026-09.xlsx. Chỉ để tham khảo, không copy thang giá.</t>
        </is>
      </c>
    </row>
    <row r="13">
      <c r="A13" s="6" t="inlineStr">
        <is>
          <t>Chữ xanh dương</t>
        </is>
      </c>
      <c r="B13" s="2" t="inlineStr">
        <is>
          <t>Giá đã chốt (bảng giá 2026-10-05). Sửa trực tiếp nếu đổi giá; sheet Funnel-Plan tự cập nhật.</t>
        </is>
      </c>
    </row>
    <row r="14">
      <c r="A14" s="3" t="n"/>
      <c r="B14" s="2" t="n"/>
    </row>
    <row r="15">
      <c r="A15" s="3" t="inlineStr">
        <is>
          <t>Ví dụ một dòng đã điền</t>
        </is>
      </c>
      <c r="B15" s="2" t="inlineStr">
        <is>
          <t>SKU chai_web_1m | Giá kỳ đầu 24.99 | Giá gia hạn 49.99 | $/tuần tự tính 11.54 | Price ID price_1Q... | Trạng thái Đã tạo</t>
        </is>
      </c>
    </row>
    <row r="16">
      <c r="A16" s="3" t="inlineStr">
        <is>
          <t>Lưu ý funnel</t>
        </is>
      </c>
      <c r="B16" s="2" t="inlineStr">
        <is>
          <t>Paywall hiện tại của các funnel đang dùng plan key cũ (weekly/yearly, w1/w4/w12, 1w/4w/12w…). Cần sửa CONFIG.plans của từng file theo sheet Funnel-Plan.</t>
        </is>
      </c>
    </row>
    <row r="17">
      <c r="A17" s="3" t="n"/>
      <c r="B17" s="2" t="n"/>
    </row>
    <row r="18">
      <c r="A18" s="4" t="inlineStr">
        <is>
          <t>QUY TẮC</t>
        </is>
      </c>
      <c r="B18" s="2" t="n"/>
    </row>
    <row r="19">
      <c r="A19" s="3" t="inlineStr">
        <is>
          <t>Offer one-time</t>
        </is>
      </c>
      <c r="B19" s="2" t="inlineStr">
        <is>
          <t>Mọi offer one-time phải là SKU không gia hạn (non-renewing). Không dùng SKU subscription cho offer.</t>
        </is>
      </c>
    </row>
    <row r="20">
      <c r="A20" s="3" t="inlineStr">
        <is>
          <t>Giá gia hạn</t>
        </is>
      </c>
      <c r="B20" s="2" t="inlineStr">
        <is>
          <t>Giá gia hạn luôn hiện cạnh giá intro trên paywall, nên phải điền cả hai cột.</t>
        </is>
      </c>
    </row>
    <row r="21">
      <c r="A21" s="3" t="inlineStr">
        <is>
          <t>Đếm ngược</t>
        </is>
      </c>
      <c r="B21" s="2" t="inlineStr">
        <is>
          <t>Mọi offer để expiresMin = null (không đếm ngược), trừ khi có hạn thật.</t>
        </is>
      </c>
    </row>
    <row r="22">
      <c r="A22" s="3" t="inlineStr">
        <is>
          <t>Sau thanh toán</t>
        </is>
      </c>
      <c r="B22" s="2" t="inlineStr">
        <is>
          <t>Checkout phải redirect về funnel với ?paid=&lt;plan key&gt; hoặc gọi window.IkFunnel.completePurchase(plan).</t>
        </is>
      </c>
    </row>
    <row r="23">
      <c r="A23" s="3" t="inlineStr">
        <is>
          <t>Hủy gói</t>
        </is>
      </c>
      <c r="B23" s="2" t="inlineStr">
        <is>
          <t>Hủy được bằng 1 click.</t>
        </is>
      </c>
    </row>
    <row r="24">
      <c r="A24" s="3" t="n"/>
      <c r="B24" s="2" t="n"/>
    </row>
    <row r="25">
      <c r="A25" s="4" t="inlineStr">
        <is>
          <t>THÔNG SỐ KHÁC CẦN CHỐT CÙNG GIÁ</t>
        </is>
      </c>
      <c r="B25" s="2" t="n"/>
    </row>
    <row r="26">
      <c r="A26" s="3" t="inlineStr">
        <is>
          <t>Chai: freeMessagesPerDay</t>
        </is>
      </c>
      <c r="B26" s="2" t="inlineStr">
        <is>
          <t>10 (TODO confirm)</t>
        </is>
      </c>
    </row>
    <row r="27">
      <c r="A27" s="3" t="inlineStr">
        <is>
          <t>Chai: fairUseCap</t>
        </is>
      </c>
      <c r="B27" s="2" t="inlineStr">
        <is>
          <t>300 tin/ngày sau "unlimited" (TODO confirm)</t>
        </is>
      </c>
    </row>
    <row r="28">
      <c r="A28" s="3" t="inlineStr">
        <is>
          <t>Nebula: refundDays</t>
        </is>
      </c>
      <c r="B28" s="2" t="inlineStr">
        <is>
          <t>{{refund_days}}. Nebula base đang dùng 7 ngày, cần xác nhận. Còn là token thì khối hoàn tiền tự ẩn.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28" customWidth="1" min="4" max="4"/>
    <col width="22" customWidth="1" min="5" max="5"/>
    <col width="22" customWidth="1" min="6" max="6"/>
    <col width="10" customWidth="1" min="7" max="7"/>
    <col width="11" customWidth="1" min="8" max="8"/>
    <col width="12" customWidth="1" min="9" max="9"/>
    <col width="14" customWidth="1" min="10" max="10"/>
    <col width="12" customWidth="1" min="11" max="11"/>
    <col width="42" customWidth="1" min="12" max="12"/>
    <col width="40" customWidth="1" min="13" max="13"/>
    <col width="38" customWidth="1" min="14" max="14"/>
    <col width="48" customWidth="1" min="15" max="15"/>
    <col width="22" customWidth="1" min="16" max="16"/>
    <col width="13" customWidth="1" min="17" max="17"/>
  </cols>
  <sheetData>
    <row r="1">
      <c r="A1" s="1" t="inlineStr">
        <is>
          <t>Danh sách SKU cần tạo (bảng giá chốt 2026-10-05)</t>
        </is>
      </c>
    </row>
    <row r="2">
      <c r="A2" s="7" t="inlineStr">
        <is>
          <t>Chữ xanh dương = giá đã chốt. Ô vàng còn trống = cần điền (Price ID, trạng thái). $/tuần tự tính từ giá gia hạn.</t>
        </is>
      </c>
    </row>
    <row r="3">
      <c r="A3" s="8" t="inlineStr">
        <is>
          <t>STT</t>
        </is>
      </c>
      <c r="B3" s="8" t="inlineStr">
        <is>
          <t>SKU ID (đề xuất)</t>
        </is>
      </c>
      <c r="C3" s="8" t="inlineStr">
        <is>
          <t>App</t>
        </is>
      </c>
      <c r="D3" s="8" t="inlineStr">
        <is>
          <t>Tên gói hiển thị</t>
        </is>
      </c>
      <c r="E3" s="8" t="inlineStr">
        <is>
          <t>Loại</t>
        </is>
      </c>
      <c r="F3" s="8" t="inlineStr">
        <is>
          <t>Chu kỳ gia hạn</t>
        </is>
      </c>
      <c r="G3" s="8" t="inlineStr">
        <is>
          <t>Số tuần / chu kỳ</t>
        </is>
      </c>
      <c r="H3" s="8" t="inlineStr">
        <is>
          <t>Có giá kỳ đầu (intro)?</t>
        </is>
      </c>
      <c r="I3" s="8" t="inlineStr">
        <is>
          <t>Giá kỳ đầu (USD)</t>
        </is>
      </c>
      <c r="J3" s="8" t="inlineStr">
        <is>
          <t>Giá gia hạn / giá bán (USD)</t>
        </is>
      </c>
      <c r="K3" s="8" t="inlineStr">
        <is>
          <t>$/tuần sau gia hạn</t>
        </is>
      </c>
      <c r="L3" s="8" t="inlineStr">
        <is>
          <t>Token trong CONFIG</t>
        </is>
      </c>
      <c r="M3" s="8" t="inlineStr">
        <is>
          <t>Dùng ở funnel</t>
        </is>
      </c>
      <c r="N3" s="8" t="inlineStr">
        <is>
          <t>Tham khảo giá</t>
        </is>
      </c>
      <c r="O3" s="8" t="inlineStr">
        <is>
          <t>Ghi chú</t>
        </is>
      </c>
      <c r="P3" s="8" t="inlineStr">
        <is>
          <t>Product / Price ID</t>
        </is>
      </c>
      <c r="Q3" s="8" t="inlineStr">
        <is>
          <t>Trạng thái</t>
        </is>
      </c>
    </row>
    <row r="4">
      <c r="A4" s="9" t="n">
        <v>1</v>
      </c>
      <c r="B4" s="9" t="inlineStr">
        <is>
          <t>chai_web_1m</t>
        </is>
      </c>
      <c r="C4" s="9" t="inlineStr">
        <is>
          <t>Chai</t>
        </is>
      </c>
      <c r="D4" s="9" t="inlineStr">
        <is>
          <t>1 month</t>
        </is>
      </c>
      <c r="E4" s="9" t="inlineStr">
        <is>
          <t>Subscription</t>
        </is>
      </c>
      <c r="F4" s="9" t="inlineStr">
        <is>
          <t>1 tháng</t>
        </is>
      </c>
      <c r="G4" s="10" t="n">
        <v>4.333333333333333</v>
      </c>
      <c r="H4" s="9" t="inlineStr">
        <is>
          <t>Có</t>
        </is>
      </c>
      <c r="I4" s="11" t="n">
        <v>24.99</v>
      </c>
      <c r="J4" s="11" t="n">
        <v>49.99</v>
      </c>
      <c r="K4" s="12">
        <f>IF(OR(J4="",G4=""),"",J4/G4)</f>
        <v/>
      </c>
      <c r="L4" s="9" t="inlineStr">
        <is>
          <t>plans.m1</t>
        </is>
      </c>
      <c r="M4" s="9" t="inlineStr">
        <is>
          <t>Tất cả funnel Chai</t>
        </is>
      </c>
      <c r="N4" s="9" t="inlineStr">
        <is>
          <t>Chai App Store: Premium Monthly $13.99</t>
        </is>
      </c>
      <c r="O4" s="9" t="inlineStr">
        <is>
          <t>Tháng đầu $24.99, sau đó $49.99/tháng.</t>
        </is>
      </c>
      <c r="P4" s="13" t="n"/>
      <c r="Q4" s="13" t="inlineStr">
        <is>
          <t>Chưa tạo</t>
        </is>
      </c>
    </row>
    <row r="5">
      <c r="A5" s="9" t="n">
        <v>2</v>
      </c>
      <c r="B5" s="9" t="inlineStr">
        <is>
          <t>chai_web_3m</t>
        </is>
      </c>
      <c r="C5" s="9" t="inlineStr">
        <is>
          <t>Chai</t>
        </is>
      </c>
      <c r="D5" s="9" t="inlineStr">
        <is>
          <t>3 months</t>
        </is>
      </c>
      <c r="E5" s="9" t="inlineStr">
        <is>
          <t>Subscription</t>
        </is>
      </c>
      <c r="F5" s="9" t="inlineStr">
        <is>
          <t>3 tháng</t>
        </is>
      </c>
      <c r="G5" s="10" t="n">
        <v>13</v>
      </c>
      <c r="H5" s="9" t="inlineStr">
        <is>
          <t>Có</t>
        </is>
      </c>
      <c r="I5" s="11" t="n">
        <v>49.99</v>
      </c>
      <c r="J5" s="11" t="n">
        <v>109.99</v>
      </c>
      <c r="K5" s="12">
        <f>IF(OR(J5="",G5=""),"",J5/G5)</f>
        <v/>
      </c>
      <c r="L5" s="9" t="inlineStr">
        <is>
          <t>plans.m3</t>
        </is>
      </c>
      <c r="M5" s="9" t="inlineStr">
        <is>
          <t>Tất cả funnel Chai</t>
        </is>
      </c>
      <c r="N5" s="9" t="inlineStr">
        <is>
          <t>—</t>
        </is>
      </c>
      <c r="O5" s="9" t="inlineStr">
        <is>
          <t>Kỳ đầu (3 tháng) $49.99, sau đó $109.99 / 3 tháng.</t>
        </is>
      </c>
      <c r="P5" s="13" t="n"/>
      <c r="Q5" s="13" t="inlineStr">
        <is>
          <t>Chưa tạo</t>
        </is>
      </c>
    </row>
    <row r="6">
      <c r="A6" s="9" t="n">
        <v>3</v>
      </c>
      <c r="B6" s="9" t="inlineStr">
        <is>
          <t>chai_web_12m</t>
        </is>
      </c>
      <c r="C6" s="9" t="inlineStr">
        <is>
          <t>Chai</t>
        </is>
      </c>
      <c r="D6" s="9" t="inlineStr">
        <is>
          <t>12 months</t>
        </is>
      </c>
      <c r="E6" s="9" t="inlineStr">
        <is>
          <t>Subscription</t>
        </is>
      </c>
      <c r="F6" s="9" t="inlineStr">
        <is>
          <t>1 năm</t>
        </is>
      </c>
      <c r="G6" s="10" t="n">
        <v>52</v>
      </c>
      <c r="H6" s="9" t="inlineStr">
        <is>
          <t>Có</t>
        </is>
      </c>
      <c r="I6" s="11" t="n">
        <v>119.99</v>
      </c>
      <c r="J6" s="11" t="n">
        <v>299.99</v>
      </c>
      <c r="K6" s="12">
        <f>IF(OR(J6="",G6=""),"",J6/G6)</f>
        <v/>
      </c>
      <c r="L6" s="9" t="inlineStr">
        <is>
          <t>plans.y12</t>
        </is>
      </c>
      <c r="M6" s="9" t="inlineStr">
        <is>
          <t>Tất cả funnel Chai</t>
        </is>
      </c>
      <c r="N6" s="9" t="inlineStr">
        <is>
          <t>Chai App Store: Premium Annual $134.99</t>
        </is>
      </c>
      <c r="O6" s="9" t="inlineStr">
        <is>
          <t>Năm đầu $119.99, sau đó $299.99/năm.</t>
        </is>
      </c>
      <c r="P6" s="13" t="n"/>
      <c r="Q6" s="13" t="inlineStr">
        <is>
          <t>Chưa tạo</t>
        </is>
      </c>
    </row>
    <row r="7">
      <c r="A7" s="9" t="n">
        <v>4</v>
      </c>
      <c r="B7" s="9" t="inlineStr">
        <is>
          <t>chai_web_1m_sale</t>
        </is>
      </c>
      <c r="C7" s="9" t="inlineStr">
        <is>
          <t>Chai</t>
        </is>
      </c>
      <c r="D7" s="9" t="inlineStr">
        <is>
          <t>1 month (sale)</t>
        </is>
      </c>
      <c r="E7" s="9" t="inlineStr">
        <is>
          <t>Subscription</t>
        </is>
      </c>
      <c r="F7" s="9" t="inlineStr">
        <is>
          <t>1 tháng</t>
        </is>
      </c>
      <c r="G7" s="10" t="n">
        <v>4.333333333333333</v>
      </c>
      <c r="H7" s="9" t="inlineStr">
        <is>
          <t>Có</t>
        </is>
      </c>
      <c r="I7" s="11" t="n">
        <v>22.99</v>
      </c>
      <c r="J7" s="11" t="n">
        <v>49.99</v>
      </c>
      <c r="K7" s="12">
        <f>IF(OR(J7="",G7=""),"",J7/G7)</f>
        <v/>
      </c>
      <c r="L7" s="9" t="inlineStr">
        <is>
          <t>offer (sale)</t>
        </is>
      </c>
      <c r="M7" s="9" t="inlineStr">
        <is>
          <t>Tất cả funnel Chai</t>
        </is>
      </c>
      <c r="N7" s="9" t="inlineStr">
        <is>
          <t>—</t>
        </is>
      </c>
      <c r="O7" s="9" t="inlineStr">
        <is>
          <t>Bản sale của 1 month: kỳ đầu $22.99, gia hạn giữ giá gốc $49.99.</t>
        </is>
      </c>
      <c r="P7" s="13" t="n"/>
      <c r="Q7" s="13" t="inlineStr">
        <is>
          <t>Chưa tạo</t>
        </is>
      </c>
    </row>
    <row r="8">
      <c r="A8" s="9" t="n">
        <v>5</v>
      </c>
      <c r="B8" s="9" t="inlineStr">
        <is>
          <t>chai_web_3m_sale</t>
        </is>
      </c>
      <c r="C8" s="9" t="inlineStr">
        <is>
          <t>Chai</t>
        </is>
      </c>
      <c r="D8" s="9" t="inlineStr">
        <is>
          <t>3 months (sale)</t>
        </is>
      </c>
      <c r="E8" s="9" t="inlineStr">
        <is>
          <t>Subscription</t>
        </is>
      </c>
      <c r="F8" s="9" t="inlineStr">
        <is>
          <t>3 tháng</t>
        </is>
      </c>
      <c r="G8" s="10" t="n">
        <v>13</v>
      </c>
      <c r="H8" s="9" t="inlineStr">
        <is>
          <t>Có</t>
        </is>
      </c>
      <c r="I8" s="11" t="n">
        <v>44.99</v>
      </c>
      <c r="J8" s="11" t="n">
        <v>109.99</v>
      </c>
      <c r="K8" s="12">
        <f>IF(OR(J8="",G8=""),"",J8/G8)</f>
        <v/>
      </c>
      <c r="L8" s="9" t="inlineStr">
        <is>
          <t>offer (sale)</t>
        </is>
      </c>
      <c r="M8" s="9" t="inlineStr">
        <is>
          <t>Tất cả funnel Chai</t>
        </is>
      </c>
      <c r="N8" s="9" t="inlineStr">
        <is>
          <t>—</t>
        </is>
      </c>
      <c r="O8" s="9" t="inlineStr">
        <is>
          <t>Bản sale của 3 months: kỳ đầu $44.99, gia hạn giữ giá gốc $109.99.</t>
        </is>
      </c>
      <c r="P8" s="13" t="n"/>
      <c r="Q8" s="13" t="inlineStr">
        <is>
          <t>Chưa tạo</t>
        </is>
      </c>
    </row>
    <row r="9">
      <c r="A9" s="9" t="n">
        <v>6</v>
      </c>
      <c r="B9" s="9" t="inlineStr">
        <is>
          <t>chai_web_12m_sale</t>
        </is>
      </c>
      <c r="C9" s="9" t="inlineStr">
        <is>
          <t>Chai</t>
        </is>
      </c>
      <c r="D9" s="9" t="inlineStr">
        <is>
          <t>12 months (sale)</t>
        </is>
      </c>
      <c r="E9" s="9" t="inlineStr">
        <is>
          <t>Subscription</t>
        </is>
      </c>
      <c r="F9" s="9" t="inlineStr">
        <is>
          <t>1 năm</t>
        </is>
      </c>
      <c r="G9" s="10" t="n">
        <v>52</v>
      </c>
      <c r="H9" s="9" t="inlineStr">
        <is>
          <t>Có</t>
        </is>
      </c>
      <c r="I9" s="11" t="n">
        <v>105.99</v>
      </c>
      <c r="J9" s="11" t="n">
        <v>299.99</v>
      </c>
      <c r="K9" s="12">
        <f>IF(OR(J9="",G9=""),"",J9/G9)</f>
        <v/>
      </c>
      <c r="L9" s="9" t="inlineStr">
        <is>
          <t>offer (sale)</t>
        </is>
      </c>
      <c r="M9" s="9" t="inlineStr">
        <is>
          <t>Tất cả funnel Chai</t>
        </is>
      </c>
      <c r="N9" s="9" t="inlineStr">
        <is>
          <t>—</t>
        </is>
      </c>
      <c r="O9" s="9" t="inlineStr">
        <is>
          <t>Bản sale của 12 months: kỳ đầu $105.99, gia hạn giữ giá gốc $299.99.</t>
        </is>
      </c>
      <c r="P9" s="13" t="n"/>
      <c r="Q9" s="13" t="inlineStr">
        <is>
          <t>Chưa tạo</t>
        </is>
      </c>
    </row>
    <row r="10">
      <c r="A10" s="9" t="n">
        <v>7</v>
      </c>
      <c r="B10" s="9" t="inlineStr">
        <is>
          <t>chai_lifetime</t>
        </is>
      </c>
      <c r="C10" s="9" t="inlineStr">
        <is>
          <t>Chai</t>
        </is>
      </c>
      <c r="D10" s="9" t="inlineStr">
        <is>
          <t>Lifetime</t>
        </is>
      </c>
      <c r="E10" s="14" t="inlineStr">
        <is>
          <t>One-time (không gia hạn)</t>
        </is>
      </c>
      <c r="F10" s="9" t="inlineStr">
        <is>
          <t>—</t>
        </is>
      </c>
      <c r="G10" s="10" t="n"/>
      <c r="H10" s="9" t="inlineStr">
        <is>
          <t>Không</t>
        </is>
      </c>
      <c r="I10" s="15" t="inlineStr">
        <is>
          <t>—</t>
        </is>
      </c>
      <c r="J10" s="11" t="n">
        <v>99.98999999999999</v>
      </c>
      <c r="K10" s="12">
        <f>IF(OR(J10="",G10=""),"",J10/G10)</f>
        <v/>
      </c>
      <c r="L10" s="9" t="inlineStr">
        <is>
          <t>plans.lifetime (key mới)</t>
        </is>
      </c>
      <c r="M10" s="9" t="inlineStr">
        <is>
          <t>Tất cả funnel Chai</t>
        </is>
      </c>
      <c r="N10" s="9" t="inlineStr">
        <is>
          <t>—</t>
        </is>
      </c>
      <c r="O10" s="9" t="inlineStr">
        <is>
          <t>Trả một lần $99.99, không gia hạn.</t>
        </is>
      </c>
      <c r="P10" s="13" t="n"/>
      <c r="Q10" s="13" t="inlineStr">
        <is>
          <t>Chưa tạo</t>
        </is>
      </c>
    </row>
    <row r="11">
      <c r="A11" s="16" t="n">
        <v>8</v>
      </c>
      <c r="B11" s="16" t="inlineStr">
        <is>
          <t>nebula_web_1w_to_1m</t>
        </is>
      </c>
      <c r="C11" s="16" t="inlineStr">
        <is>
          <t>Nebula</t>
        </is>
      </c>
      <c r="D11" s="16" t="inlineStr">
        <is>
          <t>Tuần đầu → gói tháng</t>
        </is>
      </c>
      <c r="E11" s="16" t="inlineStr">
        <is>
          <t>Subscription</t>
        </is>
      </c>
      <c r="F11" s="16" t="inlineStr">
        <is>
          <t>1 tháng (sau tuần đầu)</t>
        </is>
      </c>
      <c r="G11" s="17" t="n">
        <v>4.333333333333333</v>
      </c>
      <c r="H11" s="16" t="inlineStr">
        <is>
          <t>Có</t>
        </is>
      </c>
      <c r="I11" s="11" t="n">
        <v>13.67</v>
      </c>
      <c r="J11" s="11" t="n">
        <v>49.99</v>
      </c>
      <c r="K11" s="18">
        <f>IF(OR(J11="",G11=""),"",J11/G11)</f>
        <v/>
      </c>
      <c r="L11" s="16" t="inlineStr">
        <is>
          <t>plans (gói duy nhất)</t>
        </is>
      </c>
      <c r="M11" s="16" t="inlineStr">
        <is>
          <t>Tất cả funnel Nebula</t>
        </is>
      </c>
      <c r="N11" s="16" t="inlineStr">
        <is>
          <t>Nebula App Store: Premium $2.99–$49.99</t>
        </is>
      </c>
      <c r="O11" s="16" t="inlineStr">
        <is>
          <t>Tuần đầu $13.67, sau đó tự chuyển sang gói tháng $49.99/tháng.</t>
        </is>
      </c>
      <c r="P11" s="13" t="n"/>
      <c r="Q11" s="13" t="inlineStr">
        <is>
          <t>Chưa tạo</t>
        </is>
      </c>
    </row>
  </sheetData>
  <autoFilter ref="A3:Q11"/>
  <dataValidations count="1">
    <dataValidation sqref="Q4 Q5 Q6 Q7 Q8 Q9 Q10 Q11" showDropDown="0" showInputMessage="0" showErrorMessage="0" allowBlank="1" type="list">
      <formula1>"Chưa tạo,Đã tạo,Đã test"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52" customWidth="1" min="3" max="3"/>
    <col width="14" customWidth="1" min="4" max="4"/>
    <col width="32" customWidth="1" min="5" max="5"/>
    <col width="10" customWidth="1" min="6" max="6"/>
    <col width="12" customWidth="1" min="7" max="7"/>
    <col width="12" customWidth="1" min="8" max="8"/>
    <col width="22" customWidth="1" min="9" max="9"/>
    <col width="40" customWidth="1" min="10" max="10"/>
    <col width="18" customWidth="1" min="11" max="11"/>
  </cols>
  <sheetData>
    <row r="1">
      <c r="A1" s="1" t="inlineStr">
        <is>
          <t>Gói trên từng funnel → SKU → checkoutUrl</t>
        </is>
      </c>
    </row>
    <row r="2">
      <c r="A2" s="7" t="inlineStr">
        <is>
          <t>Giá tự kéo từ sheet SKU (chữ xanh lá). Điền checkoutUrl vào ô vàng, rồi dán vào CONFIG của file HTML tương ứng.</t>
        </is>
      </c>
    </row>
    <row r="3">
      <c r="A3" s="8" t="inlineStr">
        <is>
          <t>App</t>
        </is>
      </c>
      <c r="B3" s="8" t="inlineStr">
        <is>
          <t>Funnel</t>
        </is>
      </c>
      <c r="C3" s="8" t="inlineStr">
        <is>
          <t>File HTML</t>
        </is>
      </c>
      <c r="D3" s="8" t="inlineStr">
        <is>
          <t>Plan key (CONFIG)</t>
        </is>
      </c>
      <c r="E3" s="8" t="inlineStr">
        <is>
          <t>SKU ID</t>
        </is>
      </c>
      <c r="F3" s="8" t="inlineStr">
        <is>
          <t>Mặc định?</t>
        </is>
      </c>
      <c r="G3" s="8" t="inlineStr">
        <is>
          <t>Giá kỳ đầu (USD)</t>
        </is>
      </c>
      <c r="H3" s="8" t="inlineStr">
        <is>
          <t>Giá gia hạn (USD)</t>
        </is>
      </c>
      <c r="I3" s="8" t="inlineStr">
        <is>
          <t>Loại</t>
        </is>
      </c>
      <c r="J3" s="8" t="inlineStr">
        <is>
          <t>checkoutUrl</t>
        </is>
      </c>
      <c r="K3" s="8" t="inlineStr">
        <is>
          <t>?paid= khi redirect về</t>
        </is>
      </c>
    </row>
    <row r="4">
      <c r="A4" s="19" t="inlineStr">
        <is>
          <t>Chai</t>
        </is>
      </c>
      <c r="B4" s="19" t="inlineStr">
        <is>
          <t>chai-ai-boyfriend</t>
        </is>
      </c>
      <c r="C4" s="19" t="inlineStr">
        <is>
          <t>funnelfox-upload-2026-10-01/chai/chai-ai-boyfriend.html</t>
        </is>
      </c>
      <c r="D4" s="19" t="inlineStr">
        <is>
          <t>m1</t>
        </is>
      </c>
      <c r="E4" s="19" t="inlineStr">
        <is>
          <t>chai_web_1m</t>
        </is>
      </c>
      <c r="F4" s="19" t="inlineStr"/>
      <c r="G4" s="20">
        <f>IFERROR(IF(INDEX(SKU!$I$4:$I$11,MATCH($E4,SKU!$B$4:$B$11,0))="","",INDEX(SKU!$I$4:$I$11,MATCH($E4,SKU!$B$4:$B$11,0))),"SKU?")</f>
        <v/>
      </c>
      <c r="H4" s="20">
        <f>IFERROR(IF(INDEX(SKU!$J$4:$J$11,MATCH($E4,SKU!$B$4:$B$11,0))="","",INDEX(SKU!$J$4:$J$11,MATCH($E4,SKU!$B$4:$B$11,0))),"SKU?")</f>
        <v/>
      </c>
      <c r="I4" s="21">
        <f>IFERROR(INDEX(SKU!$E$4:$E$11,MATCH($E4,SKU!$B$4:$B$11,0)),"SKU?")</f>
        <v/>
      </c>
      <c r="J4" s="22" t="n"/>
      <c r="K4" s="19" t="inlineStr">
        <is>
          <t>m1</t>
        </is>
      </c>
    </row>
    <row r="5">
      <c r="A5" s="19" t="inlineStr">
        <is>
          <t>Chai</t>
        </is>
      </c>
      <c r="B5" s="19" t="inlineStr">
        <is>
          <t>chai-ai-boyfriend</t>
        </is>
      </c>
      <c r="C5" s="19" t="inlineStr">
        <is>
          <t>funnelfox-upload-2026-10-01/chai/chai-ai-boyfriend.html</t>
        </is>
      </c>
      <c r="D5" s="19" t="inlineStr">
        <is>
          <t>m3</t>
        </is>
      </c>
      <c r="E5" s="19" t="inlineStr">
        <is>
          <t>chai_web_3m</t>
        </is>
      </c>
      <c r="F5" s="19" t="inlineStr"/>
      <c r="G5" s="20">
        <f>IFERROR(IF(INDEX(SKU!$I$4:$I$11,MATCH($E5,SKU!$B$4:$B$11,0))="","",INDEX(SKU!$I$4:$I$11,MATCH($E5,SKU!$B$4:$B$11,0))),"SKU?")</f>
        <v/>
      </c>
      <c r="H5" s="20">
        <f>IFERROR(IF(INDEX(SKU!$J$4:$J$11,MATCH($E5,SKU!$B$4:$B$11,0))="","",INDEX(SKU!$J$4:$J$11,MATCH($E5,SKU!$B$4:$B$11,0))),"SKU?")</f>
        <v/>
      </c>
      <c r="I5" s="21">
        <f>IFERROR(INDEX(SKU!$E$4:$E$11,MATCH($E5,SKU!$B$4:$B$11,0)),"SKU?")</f>
        <v/>
      </c>
      <c r="J5" s="22" t="n"/>
      <c r="K5" s="19" t="inlineStr">
        <is>
          <t>m3</t>
        </is>
      </c>
    </row>
    <row r="6">
      <c r="A6" s="19" t="inlineStr">
        <is>
          <t>Chai</t>
        </is>
      </c>
      <c r="B6" s="19" t="inlineStr">
        <is>
          <t>chai-ai-boyfriend</t>
        </is>
      </c>
      <c r="C6" s="19" t="inlineStr">
        <is>
          <t>funnelfox-upload-2026-10-01/chai/chai-ai-boyfriend.html</t>
        </is>
      </c>
      <c r="D6" s="19" t="inlineStr">
        <is>
          <t>y12</t>
        </is>
      </c>
      <c r="E6" s="19" t="inlineStr">
        <is>
          <t>chai_web_12m</t>
        </is>
      </c>
      <c r="F6" s="23" t="inlineStr">
        <is>
          <t>Có</t>
        </is>
      </c>
      <c r="G6" s="20">
        <f>IFERROR(IF(INDEX(SKU!$I$4:$I$11,MATCH($E6,SKU!$B$4:$B$11,0))="","",INDEX(SKU!$I$4:$I$11,MATCH($E6,SKU!$B$4:$B$11,0))),"SKU?")</f>
        <v/>
      </c>
      <c r="H6" s="20">
        <f>IFERROR(IF(INDEX(SKU!$J$4:$J$11,MATCH($E6,SKU!$B$4:$B$11,0))="","",INDEX(SKU!$J$4:$J$11,MATCH($E6,SKU!$B$4:$B$11,0))),"SKU?")</f>
        <v/>
      </c>
      <c r="I6" s="21">
        <f>IFERROR(INDEX(SKU!$E$4:$E$11,MATCH($E6,SKU!$B$4:$B$11,0)),"SKU?")</f>
        <v/>
      </c>
      <c r="J6" s="22" t="n"/>
      <c r="K6" s="19" t="inlineStr">
        <is>
          <t>y12</t>
        </is>
      </c>
    </row>
    <row r="7">
      <c r="A7" s="19" t="inlineStr">
        <is>
          <t>Chai</t>
        </is>
      </c>
      <c r="B7" s="19" t="inlineStr">
        <is>
          <t>chai-ai-boyfriend</t>
        </is>
      </c>
      <c r="C7" s="19" t="inlineStr">
        <is>
          <t>funnelfox-upload-2026-10-01/chai/chai-ai-boyfriend.html</t>
        </is>
      </c>
      <c r="D7" s="19" t="inlineStr">
        <is>
          <t>offer_m1</t>
        </is>
      </c>
      <c r="E7" s="19" t="inlineStr">
        <is>
          <t>chai_web_1m_sale</t>
        </is>
      </c>
      <c r="F7" s="19" t="inlineStr"/>
      <c r="G7" s="20">
        <f>IFERROR(IF(INDEX(SKU!$I$4:$I$11,MATCH($E7,SKU!$B$4:$B$11,0))="","",INDEX(SKU!$I$4:$I$11,MATCH($E7,SKU!$B$4:$B$11,0))),"SKU?")</f>
        <v/>
      </c>
      <c r="H7" s="20">
        <f>IFERROR(IF(INDEX(SKU!$J$4:$J$11,MATCH($E7,SKU!$B$4:$B$11,0))="","",INDEX(SKU!$J$4:$J$11,MATCH($E7,SKU!$B$4:$B$11,0))),"SKU?")</f>
        <v/>
      </c>
      <c r="I7" s="21">
        <f>IFERROR(INDEX(SKU!$E$4:$E$11,MATCH($E7,SKU!$B$4:$B$11,0)),"SKU?")</f>
        <v/>
      </c>
      <c r="J7" s="22" t="n"/>
      <c r="K7" s="19" t="inlineStr">
        <is>
          <t>offer</t>
        </is>
      </c>
    </row>
    <row r="8">
      <c r="A8" s="19" t="inlineStr">
        <is>
          <t>Chai</t>
        </is>
      </c>
      <c r="B8" s="19" t="inlineStr">
        <is>
          <t>chai-ai-boyfriend</t>
        </is>
      </c>
      <c r="C8" s="19" t="inlineStr">
        <is>
          <t>funnelfox-upload-2026-10-01/chai/chai-ai-boyfriend.html</t>
        </is>
      </c>
      <c r="D8" s="19" t="inlineStr">
        <is>
          <t>offer_m3</t>
        </is>
      </c>
      <c r="E8" s="19" t="inlineStr">
        <is>
          <t>chai_web_3m_sale</t>
        </is>
      </c>
      <c r="F8" s="19" t="inlineStr"/>
      <c r="G8" s="20">
        <f>IFERROR(IF(INDEX(SKU!$I$4:$I$11,MATCH($E8,SKU!$B$4:$B$11,0))="","",INDEX(SKU!$I$4:$I$11,MATCH($E8,SKU!$B$4:$B$11,0))),"SKU?")</f>
        <v/>
      </c>
      <c r="H8" s="20">
        <f>IFERROR(IF(INDEX(SKU!$J$4:$J$11,MATCH($E8,SKU!$B$4:$B$11,0))="","",INDEX(SKU!$J$4:$J$11,MATCH($E8,SKU!$B$4:$B$11,0))),"SKU?")</f>
        <v/>
      </c>
      <c r="I8" s="21">
        <f>IFERROR(INDEX(SKU!$E$4:$E$11,MATCH($E8,SKU!$B$4:$B$11,0)),"SKU?")</f>
        <v/>
      </c>
      <c r="J8" s="22" t="n"/>
      <c r="K8" s="19" t="inlineStr">
        <is>
          <t>offer</t>
        </is>
      </c>
    </row>
    <row r="9">
      <c r="A9" s="19" t="inlineStr">
        <is>
          <t>Chai</t>
        </is>
      </c>
      <c r="B9" s="19" t="inlineStr">
        <is>
          <t>chai-ai-boyfriend</t>
        </is>
      </c>
      <c r="C9" s="19" t="inlineStr">
        <is>
          <t>funnelfox-upload-2026-10-01/chai/chai-ai-boyfriend.html</t>
        </is>
      </c>
      <c r="D9" s="19" t="inlineStr">
        <is>
          <t>offer_y12</t>
        </is>
      </c>
      <c r="E9" s="19" t="inlineStr">
        <is>
          <t>chai_web_12m_sale</t>
        </is>
      </c>
      <c r="F9" s="19" t="inlineStr"/>
      <c r="G9" s="20">
        <f>IFERROR(IF(INDEX(SKU!$I$4:$I$11,MATCH($E9,SKU!$B$4:$B$11,0))="","",INDEX(SKU!$I$4:$I$11,MATCH($E9,SKU!$B$4:$B$11,0))),"SKU?")</f>
        <v/>
      </c>
      <c r="H9" s="20">
        <f>IFERROR(IF(INDEX(SKU!$J$4:$J$11,MATCH($E9,SKU!$B$4:$B$11,0))="","",INDEX(SKU!$J$4:$J$11,MATCH($E9,SKU!$B$4:$B$11,0))),"SKU?")</f>
        <v/>
      </c>
      <c r="I9" s="21">
        <f>IFERROR(INDEX(SKU!$E$4:$E$11,MATCH($E9,SKU!$B$4:$B$11,0)),"SKU?")</f>
        <v/>
      </c>
      <c r="J9" s="22" t="n"/>
      <c r="K9" s="19" t="inlineStr">
        <is>
          <t>offer</t>
        </is>
      </c>
    </row>
    <row r="10">
      <c r="A10" s="19" t="inlineStr">
        <is>
          <t>Chai</t>
        </is>
      </c>
      <c r="B10" s="19" t="inlineStr">
        <is>
          <t>chai-ai-boyfriend</t>
        </is>
      </c>
      <c r="C10" s="19" t="inlineStr">
        <is>
          <t>funnelfox-upload-2026-10-01/chai/chai-ai-boyfriend.html</t>
        </is>
      </c>
      <c r="D10" s="19" t="inlineStr">
        <is>
          <t>lifetime</t>
        </is>
      </c>
      <c r="E10" s="19" t="inlineStr">
        <is>
          <t>chai_lifetime</t>
        </is>
      </c>
      <c r="F10" s="19" t="inlineStr"/>
      <c r="G10" s="20">
        <f>IFERROR(IF(INDEX(SKU!$I$4:$I$11,MATCH($E10,SKU!$B$4:$B$11,0))="","",INDEX(SKU!$I$4:$I$11,MATCH($E10,SKU!$B$4:$B$11,0))),"SKU?")</f>
        <v/>
      </c>
      <c r="H10" s="20">
        <f>IFERROR(IF(INDEX(SKU!$J$4:$J$11,MATCH($E10,SKU!$B$4:$B$11,0))="","",INDEX(SKU!$J$4:$J$11,MATCH($E10,SKU!$B$4:$B$11,0))),"SKU?")</f>
        <v/>
      </c>
      <c r="I10" s="21">
        <f>IFERROR(INDEX(SKU!$E$4:$E$11,MATCH($E10,SKU!$B$4:$B$11,0)),"SKU?")</f>
        <v/>
      </c>
      <c r="J10" s="22" t="n"/>
      <c r="K10" s="19" t="inlineStr">
        <is>
          <t>lifetime</t>
        </is>
      </c>
    </row>
    <row r="11">
      <c r="A11" s="19" t="inlineStr">
        <is>
          <t>Chai</t>
        </is>
      </c>
      <c r="B11" s="19" t="inlineStr">
        <is>
          <t>chai-companion</t>
        </is>
      </c>
      <c r="C11" s="19" t="inlineStr">
        <is>
          <t>funnelfox-upload-2026-10-01/chai/chai-companion.html</t>
        </is>
      </c>
      <c r="D11" s="19" t="inlineStr">
        <is>
          <t>m1</t>
        </is>
      </c>
      <c r="E11" s="19" t="inlineStr">
        <is>
          <t>chai_web_1m</t>
        </is>
      </c>
      <c r="F11" s="19" t="inlineStr"/>
      <c r="G11" s="20">
        <f>IFERROR(IF(INDEX(SKU!$I$4:$I$11,MATCH($E11,SKU!$B$4:$B$11,0))="","",INDEX(SKU!$I$4:$I$11,MATCH($E11,SKU!$B$4:$B$11,0))),"SKU?")</f>
        <v/>
      </c>
      <c r="H11" s="20">
        <f>IFERROR(IF(INDEX(SKU!$J$4:$J$11,MATCH($E11,SKU!$B$4:$B$11,0))="","",INDEX(SKU!$J$4:$J$11,MATCH($E11,SKU!$B$4:$B$11,0))),"SKU?")</f>
        <v/>
      </c>
      <c r="I11" s="21">
        <f>IFERROR(INDEX(SKU!$E$4:$E$11,MATCH($E11,SKU!$B$4:$B$11,0)),"SKU?")</f>
        <v/>
      </c>
      <c r="J11" s="22" t="n"/>
      <c r="K11" s="19" t="inlineStr">
        <is>
          <t>m1</t>
        </is>
      </c>
    </row>
    <row r="12">
      <c r="A12" s="19" t="inlineStr">
        <is>
          <t>Chai</t>
        </is>
      </c>
      <c r="B12" s="19" t="inlineStr">
        <is>
          <t>chai-companion</t>
        </is>
      </c>
      <c r="C12" s="19" t="inlineStr">
        <is>
          <t>funnelfox-upload-2026-10-01/chai/chai-companion.html</t>
        </is>
      </c>
      <c r="D12" s="19" t="inlineStr">
        <is>
          <t>m3</t>
        </is>
      </c>
      <c r="E12" s="19" t="inlineStr">
        <is>
          <t>chai_web_3m</t>
        </is>
      </c>
      <c r="F12" s="19" t="inlineStr"/>
      <c r="G12" s="20">
        <f>IFERROR(IF(INDEX(SKU!$I$4:$I$11,MATCH($E12,SKU!$B$4:$B$11,0))="","",INDEX(SKU!$I$4:$I$11,MATCH($E12,SKU!$B$4:$B$11,0))),"SKU?")</f>
        <v/>
      </c>
      <c r="H12" s="20">
        <f>IFERROR(IF(INDEX(SKU!$J$4:$J$11,MATCH($E12,SKU!$B$4:$B$11,0))="","",INDEX(SKU!$J$4:$J$11,MATCH($E12,SKU!$B$4:$B$11,0))),"SKU?")</f>
        <v/>
      </c>
      <c r="I12" s="21">
        <f>IFERROR(INDEX(SKU!$E$4:$E$11,MATCH($E12,SKU!$B$4:$B$11,0)),"SKU?")</f>
        <v/>
      </c>
      <c r="J12" s="22" t="n"/>
      <c r="K12" s="19" t="inlineStr">
        <is>
          <t>m3</t>
        </is>
      </c>
    </row>
    <row r="13">
      <c r="A13" s="19" t="inlineStr">
        <is>
          <t>Chai</t>
        </is>
      </c>
      <c r="B13" s="19" t="inlineStr">
        <is>
          <t>chai-companion</t>
        </is>
      </c>
      <c r="C13" s="19" t="inlineStr">
        <is>
          <t>funnelfox-upload-2026-10-01/chai/chai-companion.html</t>
        </is>
      </c>
      <c r="D13" s="19" t="inlineStr">
        <is>
          <t>y12</t>
        </is>
      </c>
      <c r="E13" s="19" t="inlineStr">
        <is>
          <t>chai_web_12m</t>
        </is>
      </c>
      <c r="F13" s="23" t="inlineStr">
        <is>
          <t>Có</t>
        </is>
      </c>
      <c r="G13" s="20">
        <f>IFERROR(IF(INDEX(SKU!$I$4:$I$11,MATCH($E13,SKU!$B$4:$B$11,0))="","",INDEX(SKU!$I$4:$I$11,MATCH($E13,SKU!$B$4:$B$11,0))),"SKU?")</f>
        <v/>
      </c>
      <c r="H13" s="20">
        <f>IFERROR(IF(INDEX(SKU!$J$4:$J$11,MATCH($E13,SKU!$B$4:$B$11,0))="","",INDEX(SKU!$J$4:$J$11,MATCH($E13,SKU!$B$4:$B$11,0))),"SKU?")</f>
        <v/>
      </c>
      <c r="I13" s="21">
        <f>IFERROR(INDEX(SKU!$E$4:$E$11,MATCH($E13,SKU!$B$4:$B$11,0)),"SKU?")</f>
        <v/>
      </c>
      <c r="J13" s="22" t="n"/>
      <c r="K13" s="19" t="inlineStr">
        <is>
          <t>y12</t>
        </is>
      </c>
    </row>
    <row r="14">
      <c r="A14" s="19" t="inlineStr">
        <is>
          <t>Chai</t>
        </is>
      </c>
      <c r="B14" s="19" t="inlineStr">
        <is>
          <t>chai-companion</t>
        </is>
      </c>
      <c r="C14" s="19" t="inlineStr">
        <is>
          <t>funnelfox-upload-2026-10-01/chai/chai-companion.html</t>
        </is>
      </c>
      <c r="D14" s="19" t="inlineStr">
        <is>
          <t>offer_m1</t>
        </is>
      </c>
      <c r="E14" s="19" t="inlineStr">
        <is>
          <t>chai_web_1m_sale</t>
        </is>
      </c>
      <c r="F14" s="19" t="inlineStr"/>
      <c r="G14" s="20">
        <f>IFERROR(IF(INDEX(SKU!$I$4:$I$11,MATCH($E14,SKU!$B$4:$B$11,0))="","",INDEX(SKU!$I$4:$I$11,MATCH($E14,SKU!$B$4:$B$11,0))),"SKU?")</f>
        <v/>
      </c>
      <c r="H14" s="20">
        <f>IFERROR(IF(INDEX(SKU!$J$4:$J$11,MATCH($E14,SKU!$B$4:$B$11,0))="","",INDEX(SKU!$J$4:$J$11,MATCH($E14,SKU!$B$4:$B$11,0))),"SKU?")</f>
        <v/>
      </c>
      <c r="I14" s="21">
        <f>IFERROR(INDEX(SKU!$E$4:$E$11,MATCH($E14,SKU!$B$4:$B$11,0)),"SKU?")</f>
        <v/>
      </c>
      <c r="J14" s="22" t="n"/>
      <c r="K14" s="19" t="inlineStr">
        <is>
          <t>offer</t>
        </is>
      </c>
    </row>
    <row r="15">
      <c r="A15" s="19" t="inlineStr">
        <is>
          <t>Chai</t>
        </is>
      </c>
      <c r="B15" s="19" t="inlineStr">
        <is>
          <t>chai-companion</t>
        </is>
      </c>
      <c r="C15" s="19" t="inlineStr">
        <is>
          <t>funnelfox-upload-2026-10-01/chai/chai-companion.html</t>
        </is>
      </c>
      <c r="D15" s="19" t="inlineStr">
        <is>
          <t>offer_m3</t>
        </is>
      </c>
      <c r="E15" s="19" t="inlineStr">
        <is>
          <t>chai_web_3m_sale</t>
        </is>
      </c>
      <c r="F15" s="19" t="inlineStr"/>
      <c r="G15" s="20">
        <f>IFERROR(IF(INDEX(SKU!$I$4:$I$11,MATCH($E15,SKU!$B$4:$B$11,0))="","",INDEX(SKU!$I$4:$I$11,MATCH($E15,SKU!$B$4:$B$11,0))),"SKU?")</f>
        <v/>
      </c>
      <c r="H15" s="20">
        <f>IFERROR(IF(INDEX(SKU!$J$4:$J$11,MATCH($E15,SKU!$B$4:$B$11,0))="","",INDEX(SKU!$J$4:$J$11,MATCH($E15,SKU!$B$4:$B$11,0))),"SKU?")</f>
        <v/>
      </c>
      <c r="I15" s="21">
        <f>IFERROR(INDEX(SKU!$E$4:$E$11,MATCH($E15,SKU!$B$4:$B$11,0)),"SKU?")</f>
        <v/>
      </c>
      <c r="J15" s="22" t="n"/>
      <c r="K15" s="19" t="inlineStr">
        <is>
          <t>offer</t>
        </is>
      </c>
    </row>
    <row r="16">
      <c r="A16" s="19" t="inlineStr">
        <is>
          <t>Chai</t>
        </is>
      </c>
      <c r="B16" s="19" t="inlineStr">
        <is>
          <t>chai-companion</t>
        </is>
      </c>
      <c r="C16" s="19" t="inlineStr">
        <is>
          <t>funnelfox-upload-2026-10-01/chai/chai-companion.html</t>
        </is>
      </c>
      <c r="D16" s="19" t="inlineStr">
        <is>
          <t>offer_y12</t>
        </is>
      </c>
      <c r="E16" s="19" t="inlineStr">
        <is>
          <t>chai_web_12m_sale</t>
        </is>
      </c>
      <c r="F16" s="19" t="inlineStr"/>
      <c r="G16" s="20">
        <f>IFERROR(IF(INDEX(SKU!$I$4:$I$11,MATCH($E16,SKU!$B$4:$B$11,0))="","",INDEX(SKU!$I$4:$I$11,MATCH($E16,SKU!$B$4:$B$11,0))),"SKU?")</f>
        <v/>
      </c>
      <c r="H16" s="20">
        <f>IFERROR(IF(INDEX(SKU!$J$4:$J$11,MATCH($E16,SKU!$B$4:$B$11,0))="","",INDEX(SKU!$J$4:$J$11,MATCH($E16,SKU!$B$4:$B$11,0))),"SKU?")</f>
        <v/>
      </c>
      <c r="I16" s="21">
        <f>IFERROR(INDEX(SKU!$E$4:$E$11,MATCH($E16,SKU!$B$4:$B$11,0)),"SKU?")</f>
        <v/>
      </c>
      <c r="J16" s="22" t="n"/>
      <c r="K16" s="19" t="inlineStr">
        <is>
          <t>offer</t>
        </is>
      </c>
    </row>
    <row r="17">
      <c r="A17" s="19" t="inlineStr">
        <is>
          <t>Chai</t>
        </is>
      </c>
      <c r="B17" s="19" t="inlineStr">
        <is>
          <t>chai-companion</t>
        </is>
      </c>
      <c r="C17" s="19" t="inlineStr">
        <is>
          <t>funnelfox-upload-2026-10-01/chai/chai-companion.html</t>
        </is>
      </c>
      <c r="D17" s="19" t="inlineStr">
        <is>
          <t>lifetime</t>
        </is>
      </c>
      <c r="E17" s="19" t="inlineStr">
        <is>
          <t>chai_lifetime</t>
        </is>
      </c>
      <c r="F17" s="19" t="inlineStr"/>
      <c r="G17" s="20">
        <f>IFERROR(IF(INDEX(SKU!$I$4:$I$11,MATCH($E17,SKU!$B$4:$B$11,0))="","",INDEX(SKU!$I$4:$I$11,MATCH($E17,SKU!$B$4:$B$11,0))),"SKU?")</f>
        <v/>
      </c>
      <c r="H17" s="20">
        <f>IFERROR(IF(INDEX(SKU!$J$4:$J$11,MATCH($E17,SKU!$B$4:$B$11,0))="","",INDEX(SKU!$J$4:$J$11,MATCH($E17,SKU!$B$4:$B$11,0))),"SKU?")</f>
        <v/>
      </c>
      <c r="I17" s="21">
        <f>IFERROR(INDEX(SKU!$E$4:$E$11,MATCH($E17,SKU!$B$4:$B$11,0)),"SKU?")</f>
        <v/>
      </c>
      <c r="J17" s="22" t="n"/>
      <c r="K17" s="19" t="inlineStr">
        <is>
          <t>lifetime</t>
        </is>
      </c>
    </row>
    <row r="18">
      <c r="A18" s="19" t="inlineStr">
        <is>
          <t>Chai</t>
        </is>
      </c>
      <c r="B18" s="19" t="inlineStr">
        <is>
          <t>chai-romance-stories</t>
        </is>
      </c>
      <c r="C18" s="19" t="inlineStr">
        <is>
          <t>funnelfox-upload-2026-10-01/chai/chai-romance-stories.html</t>
        </is>
      </c>
      <c r="D18" s="19" t="inlineStr">
        <is>
          <t>m1</t>
        </is>
      </c>
      <c r="E18" s="19" t="inlineStr">
        <is>
          <t>chai_web_1m</t>
        </is>
      </c>
      <c r="F18" s="19" t="inlineStr"/>
      <c r="G18" s="20">
        <f>IFERROR(IF(INDEX(SKU!$I$4:$I$11,MATCH($E18,SKU!$B$4:$B$11,0))="","",INDEX(SKU!$I$4:$I$11,MATCH($E18,SKU!$B$4:$B$11,0))),"SKU?")</f>
        <v/>
      </c>
      <c r="H18" s="20">
        <f>IFERROR(IF(INDEX(SKU!$J$4:$J$11,MATCH($E18,SKU!$B$4:$B$11,0))="","",INDEX(SKU!$J$4:$J$11,MATCH($E18,SKU!$B$4:$B$11,0))),"SKU?")</f>
        <v/>
      </c>
      <c r="I18" s="21">
        <f>IFERROR(INDEX(SKU!$E$4:$E$11,MATCH($E18,SKU!$B$4:$B$11,0)),"SKU?")</f>
        <v/>
      </c>
      <c r="J18" s="22" t="n"/>
      <c r="K18" s="19" t="inlineStr">
        <is>
          <t>m1</t>
        </is>
      </c>
    </row>
    <row r="19">
      <c r="A19" s="19" t="inlineStr">
        <is>
          <t>Chai</t>
        </is>
      </c>
      <c r="B19" s="19" t="inlineStr">
        <is>
          <t>chai-romance-stories</t>
        </is>
      </c>
      <c r="C19" s="19" t="inlineStr">
        <is>
          <t>funnelfox-upload-2026-10-01/chai/chai-romance-stories.html</t>
        </is>
      </c>
      <c r="D19" s="19" t="inlineStr">
        <is>
          <t>m3</t>
        </is>
      </c>
      <c r="E19" s="19" t="inlineStr">
        <is>
          <t>chai_web_3m</t>
        </is>
      </c>
      <c r="F19" s="19" t="inlineStr"/>
      <c r="G19" s="20">
        <f>IFERROR(IF(INDEX(SKU!$I$4:$I$11,MATCH($E19,SKU!$B$4:$B$11,0))="","",INDEX(SKU!$I$4:$I$11,MATCH($E19,SKU!$B$4:$B$11,0))),"SKU?")</f>
        <v/>
      </c>
      <c r="H19" s="20">
        <f>IFERROR(IF(INDEX(SKU!$J$4:$J$11,MATCH($E19,SKU!$B$4:$B$11,0))="","",INDEX(SKU!$J$4:$J$11,MATCH($E19,SKU!$B$4:$B$11,0))),"SKU?")</f>
        <v/>
      </c>
      <c r="I19" s="21">
        <f>IFERROR(INDEX(SKU!$E$4:$E$11,MATCH($E19,SKU!$B$4:$B$11,0)),"SKU?")</f>
        <v/>
      </c>
      <c r="J19" s="22" t="n"/>
      <c r="K19" s="19" t="inlineStr">
        <is>
          <t>m3</t>
        </is>
      </c>
    </row>
    <row r="20">
      <c r="A20" s="19" t="inlineStr">
        <is>
          <t>Chai</t>
        </is>
      </c>
      <c r="B20" s="19" t="inlineStr">
        <is>
          <t>chai-romance-stories</t>
        </is>
      </c>
      <c r="C20" s="19" t="inlineStr">
        <is>
          <t>funnelfox-upload-2026-10-01/chai/chai-romance-stories.html</t>
        </is>
      </c>
      <c r="D20" s="19" t="inlineStr">
        <is>
          <t>y12</t>
        </is>
      </c>
      <c r="E20" s="19" t="inlineStr">
        <is>
          <t>chai_web_12m</t>
        </is>
      </c>
      <c r="F20" s="23" t="inlineStr">
        <is>
          <t>Có</t>
        </is>
      </c>
      <c r="G20" s="20">
        <f>IFERROR(IF(INDEX(SKU!$I$4:$I$11,MATCH($E20,SKU!$B$4:$B$11,0))="","",INDEX(SKU!$I$4:$I$11,MATCH($E20,SKU!$B$4:$B$11,0))),"SKU?")</f>
        <v/>
      </c>
      <c r="H20" s="20">
        <f>IFERROR(IF(INDEX(SKU!$J$4:$J$11,MATCH($E20,SKU!$B$4:$B$11,0))="","",INDEX(SKU!$J$4:$J$11,MATCH($E20,SKU!$B$4:$B$11,0))),"SKU?")</f>
        <v/>
      </c>
      <c r="I20" s="21">
        <f>IFERROR(INDEX(SKU!$E$4:$E$11,MATCH($E20,SKU!$B$4:$B$11,0)),"SKU?")</f>
        <v/>
      </c>
      <c r="J20" s="22" t="n"/>
      <c r="K20" s="19" t="inlineStr">
        <is>
          <t>y12</t>
        </is>
      </c>
    </row>
    <row r="21">
      <c r="A21" s="19" t="inlineStr">
        <is>
          <t>Chai</t>
        </is>
      </c>
      <c r="B21" s="19" t="inlineStr">
        <is>
          <t>chai-romance-stories</t>
        </is>
      </c>
      <c r="C21" s="19" t="inlineStr">
        <is>
          <t>funnelfox-upload-2026-10-01/chai/chai-romance-stories.html</t>
        </is>
      </c>
      <c r="D21" s="19" t="inlineStr">
        <is>
          <t>offer_m1</t>
        </is>
      </c>
      <c r="E21" s="19" t="inlineStr">
        <is>
          <t>chai_web_1m_sale</t>
        </is>
      </c>
      <c r="F21" s="19" t="inlineStr"/>
      <c r="G21" s="20">
        <f>IFERROR(IF(INDEX(SKU!$I$4:$I$11,MATCH($E21,SKU!$B$4:$B$11,0))="","",INDEX(SKU!$I$4:$I$11,MATCH($E21,SKU!$B$4:$B$11,0))),"SKU?")</f>
        <v/>
      </c>
      <c r="H21" s="20">
        <f>IFERROR(IF(INDEX(SKU!$J$4:$J$11,MATCH($E21,SKU!$B$4:$B$11,0))="","",INDEX(SKU!$J$4:$J$11,MATCH($E21,SKU!$B$4:$B$11,0))),"SKU?")</f>
        <v/>
      </c>
      <c r="I21" s="21">
        <f>IFERROR(INDEX(SKU!$E$4:$E$11,MATCH($E21,SKU!$B$4:$B$11,0)),"SKU?")</f>
        <v/>
      </c>
      <c r="J21" s="22" t="n"/>
      <c r="K21" s="19" t="inlineStr">
        <is>
          <t>offer</t>
        </is>
      </c>
    </row>
    <row r="22">
      <c r="A22" s="19" t="inlineStr">
        <is>
          <t>Chai</t>
        </is>
      </c>
      <c r="B22" s="19" t="inlineStr">
        <is>
          <t>chai-romance-stories</t>
        </is>
      </c>
      <c r="C22" s="19" t="inlineStr">
        <is>
          <t>funnelfox-upload-2026-10-01/chai/chai-romance-stories.html</t>
        </is>
      </c>
      <c r="D22" s="19" t="inlineStr">
        <is>
          <t>offer_m3</t>
        </is>
      </c>
      <c r="E22" s="19" t="inlineStr">
        <is>
          <t>chai_web_3m_sale</t>
        </is>
      </c>
      <c r="F22" s="19" t="inlineStr"/>
      <c r="G22" s="20">
        <f>IFERROR(IF(INDEX(SKU!$I$4:$I$11,MATCH($E22,SKU!$B$4:$B$11,0))="","",INDEX(SKU!$I$4:$I$11,MATCH($E22,SKU!$B$4:$B$11,0))),"SKU?")</f>
        <v/>
      </c>
      <c r="H22" s="20">
        <f>IFERROR(IF(INDEX(SKU!$J$4:$J$11,MATCH($E22,SKU!$B$4:$B$11,0))="","",INDEX(SKU!$J$4:$J$11,MATCH($E22,SKU!$B$4:$B$11,0))),"SKU?")</f>
        <v/>
      </c>
      <c r="I22" s="21">
        <f>IFERROR(INDEX(SKU!$E$4:$E$11,MATCH($E22,SKU!$B$4:$B$11,0)),"SKU?")</f>
        <v/>
      </c>
      <c r="J22" s="22" t="n"/>
      <c r="K22" s="19" t="inlineStr">
        <is>
          <t>offer</t>
        </is>
      </c>
    </row>
    <row r="23">
      <c r="A23" s="19" t="inlineStr">
        <is>
          <t>Chai</t>
        </is>
      </c>
      <c r="B23" s="19" t="inlineStr">
        <is>
          <t>chai-romance-stories</t>
        </is>
      </c>
      <c r="C23" s="19" t="inlineStr">
        <is>
          <t>funnelfox-upload-2026-10-01/chai/chai-romance-stories.html</t>
        </is>
      </c>
      <c r="D23" s="19" t="inlineStr">
        <is>
          <t>offer_y12</t>
        </is>
      </c>
      <c r="E23" s="19" t="inlineStr">
        <is>
          <t>chai_web_12m_sale</t>
        </is>
      </c>
      <c r="F23" s="19" t="inlineStr"/>
      <c r="G23" s="20">
        <f>IFERROR(IF(INDEX(SKU!$I$4:$I$11,MATCH($E23,SKU!$B$4:$B$11,0))="","",INDEX(SKU!$I$4:$I$11,MATCH($E23,SKU!$B$4:$B$11,0))),"SKU?")</f>
        <v/>
      </c>
      <c r="H23" s="20">
        <f>IFERROR(IF(INDEX(SKU!$J$4:$J$11,MATCH($E23,SKU!$B$4:$B$11,0))="","",INDEX(SKU!$J$4:$J$11,MATCH($E23,SKU!$B$4:$B$11,0))),"SKU?")</f>
        <v/>
      </c>
      <c r="I23" s="21">
        <f>IFERROR(INDEX(SKU!$E$4:$E$11,MATCH($E23,SKU!$B$4:$B$11,0)),"SKU?")</f>
        <v/>
      </c>
      <c r="J23" s="22" t="n"/>
      <c r="K23" s="19" t="inlineStr">
        <is>
          <t>offer</t>
        </is>
      </c>
    </row>
    <row r="24">
      <c r="A24" s="19" t="inlineStr">
        <is>
          <t>Chai</t>
        </is>
      </c>
      <c r="B24" s="19" t="inlineStr">
        <is>
          <t>chai-romance-stories</t>
        </is>
      </c>
      <c r="C24" s="19" t="inlineStr">
        <is>
          <t>funnelfox-upload-2026-10-01/chai/chai-romance-stories.html</t>
        </is>
      </c>
      <c r="D24" s="19" t="inlineStr">
        <is>
          <t>lifetime</t>
        </is>
      </c>
      <c r="E24" s="19" t="inlineStr">
        <is>
          <t>chai_lifetime</t>
        </is>
      </c>
      <c r="F24" s="19" t="inlineStr"/>
      <c r="G24" s="20">
        <f>IFERROR(IF(INDEX(SKU!$I$4:$I$11,MATCH($E24,SKU!$B$4:$B$11,0))="","",INDEX(SKU!$I$4:$I$11,MATCH($E24,SKU!$B$4:$B$11,0))),"SKU?")</f>
        <v/>
      </c>
      <c r="H24" s="20">
        <f>IFERROR(IF(INDEX(SKU!$J$4:$J$11,MATCH($E24,SKU!$B$4:$B$11,0))="","",INDEX(SKU!$J$4:$J$11,MATCH($E24,SKU!$B$4:$B$11,0))),"SKU?")</f>
        <v/>
      </c>
      <c r="I24" s="21">
        <f>IFERROR(INDEX(SKU!$E$4:$E$11,MATCH($E24,SKU!$B$4:$B$11,0)),"SKU?")</f>
        <v/>
      </c>
      <c r="J24" s="22" t="n"/>
      <c r="K24" s="19" t="inlineStr">
        <is>
          <t>lifetime</t>
        </is>
      </c>
    </row>
    <row r="25">
      <c r="A25" s="19" t="inlineStr">
        <is>
          <t>Chai</t>
        </is>
      </c>
      <c r="B25" s="19" t="inlineStr">
        <is>
          <t>chai-ai-girlfriend</t>
        </is>
      </c>
      <c r="C25" s="19" t="inlineStr">
        <is>
          <t>funnelfox-upload-2026-10-01/chai/chai-ai-girlfriend.html</t>
        </is>
      </c>
      <c r="D25" s="19" t="inlineStr">
        <is>
          <t>m1</t>
        </is>
      </c>
      <c r="E25" s="19" t="inlineStr">
        <is>
          <t>chai_web_1m</t>
        </is>
      </c>
      <c r="F25" s="19" t="inlineStr"/>
      <c r="G25" s="20">
        <f>IFERROR(IF(INDEX(SKU!$I$4:$I$11,MATCH($E25,SKU!$B$4:$B$11,0))="","",INDEX(SKU!$I$4:$I$11,MATCH($E25,SKU!$B$4:$B$11,0))),"SKU?")</f>
        <v/>
      </c>
      <c r="H25" s="20">
        <f>IFERROR(IF(INDEX(SKU!$J$4:$J$11,MATCH($E25,SKU!$B$4:$B$11,0))="","",INDEX(SKU!$J$4:$J$11,MATCH($E25,SKU!$B$4:$B$11,0))),"SKU?")</f>
        <v/>
      </c>
      <c r="I25" s="21">
        <f>IFERROR(INDEX(SKU!$E$4:$E$11,MATCH($E25,SKU!$B$4:$B$11,0)),"SKU?")</f>
        <v/>
      </c>
      <c r="J25" s="22" t="n"/>
      <c r="K25" s="19" t="inlineStr">
        <is>
          <t>m1</t>
        </is>
      </c>
    </row>
    <row r="26">
      <c r="A26" s="19" t="inlineStr">
        <is>
          <t>Chai</t>
        </is>
      </c>
      <c r="B26" s="19" t="inlineStr">
        <is>
          <t>chai-ai-girlfriend</t>
        </is>
      </c>
      <c r="C26" s="19" t="inlineStr">
        <is>
          <t>funnelfox-upload-2026-10-01/chai/chai-ai-girlfriend.html</t>
        </is>
      </c>
      <c r="D26" s="19" t="inlineStr">
        <is>
          <t>m3</t>
        </is>
      </c>
      <c r="E26" s="19" t="inlineStr">
        <is>
          <t>chai_web_3m</t>
        </is>
      </c>
      <c r="F26" s="19" t="inlineStr"/>
      <c r="G26" s="20">
        <f>IFERROR(IF(INDEX(SKU!$I$4:$I$11,MATCH($E26,SKU!$B$4:$B$11,0))="","",INDEX(SKU!$I$4:$I$11,MATCH($E26,SKU!$B$4:$B$11,0))),"SKU?")</f>
        <v/>
      </c>
      <c r="H26" s="20">
        <f>IFERROR(IF(INDEX(SKU!$J$4:$J$11,MATCH($E26,SKU!$B$4:$B$11,0))="","",INDEX(SKU!$J$4:$J$11,MATCH($E26,SKU!$B$4:$B$11,0))),"SKU?")</f>
        <v/>
      </c>
      <c r="I26" s="21">
        <f>IFERROR(INDEX(SKU!$E$4:$E$11,MATCH($E26,SKU!$B$4:$B$11,0)),"SKU?")</f>
        <v/>
      </c>
      <c r="J26" s="22" t="n"/>
      <c r="K26" s="19" t="inlineStr">
        <is>
          <t>m3</t>
        </is>
      </c>
    </row>
    <row r="27">
      <c r="A27" s="19" t="inlineStr">
        <is>
          <t>Chai</t>
        </is>
      </c>
      <c r="B27" s="19" t="inlineStr">
        <is>
          <t>chai-ai-girlfriend</t>
        </is>
      </c>
      <c r="C27" s="19" t="inlineStr">
        <is>
          <t>funnelfox-upload-2026-10-01/chai/chai-ai-girlfriend.html</t>
        </is>
      </c>
      <c r="D27" s="19" t="inlineStr">
        <is>
          <t>y12</t>
        </is>
      </c>
      <c r="E27" s="19" t="inlineStr">
        <is>
          <t>chai_web_12m</t>
        </is>
      </c>
      <c r="F27" s="23" t="inlineStr">
        <is>
          <t>Có</t>
        </is>
      </c>
      <c r="G27" s="20">
        <f>IFERROR(IF(INDEX(SKU!$I$4:$I$11,MATCH($E27,SKU!$B$4:$B$11,0))="","",INDEX(SKU!$I$4:$I$11,MATCH($E27,SKU!$B$4:$B$11,0))),"SKU?")</f>
        <v/>
      </c>
      <c r="H27" s="20">
        <f>IFERROR(IF(INDEX(SKU!$J$4:$J$11,MATCH($E27,SKU!$B$4:$B$11,0))="","",INDEX(SKU!$J$4:$J$11,MATCH($E27,SKU!$B$4:$B$11,0))),"SKU?")</f>
        <v/>
      </c>
      <c r="I27" s="21">
        <f>IFERROR(INDEX(SKU!$E$4:$E$11,MATCH($E27,SKU!$B$4:$B$11,0)),"SKU?")</f>
        <v/>
      </c>
      <c r="J27" s="22" t="n"/>
      <c r="K27" s="19" t="inlineStr">
        <is>
          <t>y12</t>
        </is>
      </c>
    </row>
    <row r="28">
      <c r="A28" s="19" t="inlineStr">
        <is>
          <t>Chai</t>
        </is>
      </c>
      <c r="B28" s="19" t="inlineStr">
        <is>
          <t>chai-ai-girlfriend</t>
        </is>
      </c>
      <c r="C28" s="19" t="inlineStr">
        <is>
          <t>funnelfox-upload-2026-10-01/chai/chai-ai-girlfriend.html</t>
        </is>
      </c>
      <c r="D28" s="19" t="inlineStr">
        <is>
          <t>offer_m1</t>
        </is>
      </c>
      <c r="E28" s="19" t="inlineStr">
        <is>
          <t>chai_web_1m_sale</t>
        </is>
      </c>
      <c r="F28" s="19" t="inlineStr"/>
      <c r="G28" s="20">
        <f>IFERROR(IF(INDEX(SKU!$I$4:$I$11,MATCH($E28,SKU!$B$4:$B$11,0))="","",INDEX(SKU!$I$4:$I$11,MATCH($E28,SKU!$B$4:$B$11,0))),"SKU?")</f>
        <v/>
      </c>
      <c r="H28" s="20">
        <f>IFERROR(IF(INDEX(SKU!$J$4:$J$11,MATCH($E28,SKU!$B$4:$B$11,0))="","",INDEX(SKU!$J$4:$J$11,MATCH($E28,SKU!$B$4:$B$11,0))),"SKU?")</f>
        <v/>
      </c>
      <c r="I28" s="21">
        <f>IFERROR(INDEX(SKU!$E$4:$E$11,MATCH($E28,SKU!$B$4:$B$11,0)),"SKU?")</f>
        <v/>
      </c>
      <c r="J28" s="22" t="n"/>
      <c r="K28" s="19" t="inlineStr">
        <is>
          <t>offer</t>
        </is>
      </c>
    </row>
    <row r="29">
      <c r="A29" s="19" t="inlineStr">
        <is>
          <t>Chai</t>
        </is>
      </c>
      <c r="B29" s="19" t="inlineStr">
        <is>
          <t>chai-ai-girlfriend</t>
        </is>
      </c>
      <c r="C29" s="19" t="inlineStr">
        <is>
          <t>funnelfox-upload-2026-10-01/chai/chai-ai-girlfriend.html</t>
        </is>
      </c>
      <c r="D29" s="19" t="inlineStr">
        <is>
          <t>offer_m3</t>
        </is>
      </c>
      <c r="E29" s="19" t="inlineStr">
        <is>
          <t>chai_web_3m_sale</t>
        </is>
      </c>
      <c r="F29" s="19" t="inlineStr"/>
      <c r="G29" s="20">
        <f>IFERROR(IF(INDEX(SKU!$I$4:$I$11,MATCH($E29,SKU!$B$4:$B$11,0))="","",INDEX(SKU!$I$4:$I$11,MATCH($E29,SKU!$B$4:$B$11,0))),"SKU?")</f>
        <v/>
      </c>
      <c r="H29" s="20">
        <f>IFERROR(IF(INDEX(SKU!$J$4:$J$11,MATCH($E29,SKU!$B$4:$B$11,0))="","",INDEX(SKU!$J$4:$J$11,MATCH($E29,SKU!$B$4:$B$11,0))),"SKU?")</f>
        <v/>
      </c>
      <c r="I29" s="21">
        <f>IFERROR(INDEX(SKU!$E$4:$E$11,MATCH($E29,SKU!$B$4:$B$11,0)),"SKU?")</f>
        <v/>
      </c>
      <c r="J29" s="22" t="n"/>
      <c r="K29" s="19" t="inlineStr">
        <is>
          <t>offer</t>
        </is>
      </c>
    </row>
    <row r="30">
      <c r="A30" s="19" t="inlineStr">
        <is>
          <t>Chai</t>
        </is>
      </c>
      <c r="B30" s="19" t="inlineStr">
        <is>
          <t>chai-ai-girlfriend</t>
        </is>
      </c>
      <c r="C30" s="19" t="inlineStr">
        <is>
          <t>funnelfox-upload-2026-10-01/chai/chai-ai-girlfriend.html</t>
        </is>
      </c>
      <c r="D30" s="19" t="inlineStr">
        <is>
          <t>offer_y12</t>
        </is>
      </c>
      <c r="E30" s="19" t="inlineStr">
        <is>
          <t>chai_web_12m_sale</t>
        </is>
      </c>
      <c r="F30" s="19" t="inlineStr"/>
      <c r="G30" s="20">
        <f>IFERROR(IF(INDEX(SKU!$I$4:$I$11,MATCH($E30,SKU!$B$4:$B$11,0))="","",INDEX(SKU!$I$4:$I$11,MATCH($E30,SKU!$B$4:$B$11,0))),"SKU?")</f>
        <v/>
      </c>
      <c r="H30" s="20">
        <f>IFERROR(IF(INDEX(SKU!$J$4:$J$11,MATCH($E30,SKU!$B$4:$B$11,0))="","",INDEX(SKU!$J$4:$J$11,MATCH($E30,SKU!$B$4:$B$11,0))),"SKU?")</f>
        <v/>
      </c>
      <c r="I30" s="21">
        <f>IFERROR(INDEX(SKU!$E$4:$E$11,MATCH($E30,SKU!$B$4:$B$11,0)),"SKU?")</f>
        <v/>
      </c>
      <c r="J30" s="22" t="n"/>
      <c r="K30" s="19" t="inlineStr">
        <is>
          <t>offer</t>
        </is>
      </c>
    </row>
    <row r="31">
      <c r="A31" s="19" t="inlineStr">
        <is>
          <t>Chai</t>
        </is>
      </c>
      <c r="B31" s="19" t="inlineStr">
        <is>
          <t>chai-ai-girlfriend</t>
        </is>
      </c>
      <c r="C31" s="19" t="inlineStr">
        <is>
          <t>funnelfox-upload-2026-10-01/chai/chai-ai-girlfriend.html</t>
        </is>
      </c>
      <c r="D31" s="19" t="inlineStr">
        <is>
          <t>lifetime</t>
        </is>
      </c>
      <c r="E31" s="19" t="inlineStr">
        <is>
          <t>chai_lifetime</t>
        </is>
      </c>
      <c r="F31" s="19" t="inlineStr"/>
      <c r="G31" s="20">
        <f>IFERROR(IF(INDEX(SKU!$I$4:$I$11,MATCH($E31,SKU!$B$4:$B$11,0))="","",INDEX(SKU!$I$4:$I$11,MATCH($E31,SKU!$B$4:$B$11,0))),"SKU?")</f>
        <v/>
      </c>
      <c r="H31" s="20">
        <f>IFERROR(IF(INDEX(SKU!$J$4:$J$11,MATCH($E31,SKU!$B$4:$B$11,0))="","",INDEX(SKU!$J$4:$J$11,MATCH($E31,SKU!$B$4:$B$11,0))),"SKU?")</f>
        <v/>
      </c>
      <c r="I31" s="21">
        <f>IFERROR(INDEX(SKU!$E$4:$E$11,MATCH($E31,SKU!$B$4:$B$11,0)),"SKU?")</f>
        <v/>
      </c>
      <c r="J31" s="22" t="n"/>
      <c r="K31" s="19" t="inlineStr">
        <is>
          <t>lifetime</t>
        </is>
      </c>
    </row>
    <row r="32">
      <c r="A32" s="19" t="inlineStr">
        <is>
          <t>Chai</t>
        </is>
      </c>
      <c r="B32" s="19" t="inlineStr">
        <is>
          <t>chai-dream-girl</t>
        </is>
      </c>
      <c r="C32" s="19" t="inlineStr">
        <is>
          <t>funnelfox-upload-2026-10-01/chai/chai-dream-girl.html</t>
        </is>
      </c>
      <c r="D32" s="19" t="inlineStr">
        <is>
          <t>m1</t>
        </is>
      </c>
      <c r="E32" s="19" t="inlineStr">
        <is>
          <t>chai_web_1m</t>
        </is>
      </c>
      <c r="F32" s="19" t="inlineStr"/>
      <c r="G32" s="20">
        <f>IFERROR(IF(INDEX(SKU!$I$4:$I$11,MATCH($E32,SKU!$B$4:$B$11,0))="","",INDEX(SKU!$I$4:$I$11,MATCH($E32,SKU!$B$4:$B$11,0))),"SKU?")</f>
        <v/>
      </c>
      <c r="H32" s="20">
        <f>IFERROR(IF(INDEX(SKU!$J$4:$J$11,MATCH($E32,SKU!$B$4:$B$11,0))="","",INDEX(SKU!$J$4:$J$11,MATCH($E32,SKU!$B$4:$B$11,0))),"SKU?")</f>
        <v/>
      </c>
      <c r="I32" s="21">
        <f>IFERROR(INDEX(SKU!$E$4:$E$11,MATCH($E32,SKU!$B$4:$B$11,0)),"SKU?")</f>
        <v/>
      </c>
      <c r="J32" s="22" t="n"/>
      <c r="K32" s="19" t="inlineStr">
        <is>
          <t>m1</t>
        </is>
      </c>
    </row>
    <row r="33">
      <c r="A33" s="19" t="inlineStr">
        <is>
          <t>Chai</t>
        </is>
      </c>
      <c r="B33" s="19" t="inlineStr">
        <is>
          <t>chai-dream-girl</t>
        </is>
      </c>
      <c r="C33" s="19" t="inlineStr">
        <is>
          <t>funnelfox-upload-2026-10-01/chai/chai-dream-girl.html</t>
        </is>
      </c>
      <c r="D33" s="19" t="inlineStr">
        <is>
          <t>m3</t>
        </is>
      </c>
      <c r="E33" s="19" t="inlineStr">
        <is>
          <t>chai_web_3m</t>
        </is>
      </c>
      <c r="F33" s="19" t="inlineStr"/>
      <c r="G33" s="20">
        <f>IFERROR(IF(INDEX(SKU!$I$4:$I$11,MATCH($E33,SKU!$B$4:$B$11,0))="","",INDEX(SKU!$I$4:$I$11,MATCH($E33,SKU!$B$4:$B$11,0))),"SKU?")</f>
        <v/>
      </c>
      <c r="H33" s="20">
        <f>IFERROR(IF(INDEX(SKU!$J$4:$J$11,MATCH($E33,SKU!$B$4:$B$11,0))="","",INDEX(SKU!$J$4:$J$11,MATCH($E33,SKU!$B$4:$B$11,0))),"SKU?")</f>
        <v/>
      </c>
      <c r="I33" s="21">
        <f>IFERROR(INDEX(SKU!$E$4:$E$11,MATCH($E33,SKU!$B$4:$B$11,0)),"SKU?")</f>
        <v/>
      </c>
      <c r="J33" s="22" t="n"/>
      <c r="K33" s="19" t="inlineStr">
        <is>
          <t>m3</t>
        </is>
      </c>
    </row>
    <row r="34">
      <c r="A34" s="19" t="inlineStr">
        <is>
          <t>Chai</t>
        </is>
      </c>
      <c r="B34" s="19" t="inlineStr">
        <is>
          <t>chai-dream-girl</t>
        </is>
      </c>
      <c r="C34" s="19" t="inlineStr">
        <is>
          <t>funnelfox-upload-2026-10-01/chai/chai-dream-girl.html</t>
        </is>
      </c>
      <c r="D34" s="19" t="inlineStr">
        <is>
          <t>y12</t>
        </is>
      </c>
      <c r="E34" s="19" t="inlineStr">
        <is>
          <t>chai_web_12m</t>
        </is>
      </c>
      <c r="F34" s="23" t="inlineStr">
        <is>
          <t>Có</t>
        </is>
      </c>
      <c r="G34" s="20">
        <f>IFERROR(IF(INDEX(SKU!$I$4:$I$11,MATCH($E34,SKU!$B$4:$B$11,0))="","",INDEX(SKU!$I$4:$I$11,MATCH($E34,SKU!$B$4:$B$11,0))),"SKU?")</f>
        <v/>
      </c>
      <c r="H34" s="20">
        <f>IFERROR(IF(INDEX(SKU!$J$4:$J$11,MATCH($E34,SKU!$B$4:$B$11,0))="","",INDEX(SKU!$J$4:$J$11,MATCH($E34,SKU!$B$4:$B$11,0))),"SKU?")</f>
        <v/>
      </c>
      <c r="I34" s="21">
        <f>IFERROR(INDEX(SKU!$E$4:$E$11,MATCH($E34,SKU!$B$4:$B$11,0)),"SKU?")</f>
        <v/>
      </c>
      <c r="J34" s="22" t="n"/>
      <c r="K34" s="19" t="inlineStr">
        <is>
          <t>y12</t>
        </is>
      </c>
    </row>
    <row r="35">
      <c r="A35" s="19" t="inlineStr">
        <is>
          <t>Chai</t>
        </is>
      </c>
      <c r="B35" s="19" t="inlineStr">
        <is>
          <t>chai-dream-girl</t>
        </is>
      </c>
      <c r="C35" s="19" t="inlineStr">
        <is>
          <t>funnelfox-upload-2026-10-01/chai/chai-dream-girl.html</t>
        </is>
      </c>
      <c r="D35" s="19" t="inlineStr">
        <is>
          <t>offer_m1</t>
        </is>
      </c>
      <c r="E35" s="19" t="inlineStr">
        <is>
          <t>chai_web_1m_sale</t>
        </is>
      </c>
      <c r="F35" s="19" t="inlineStr"/>
      <c r="G35" s="20">
        <f>IFERROR(IF(INDEX(SKU!$I$4:$I$11,MATCH($E35,SKU!$B$4:$B$11,0))="","",INDEX(SKU!$I$4:$I$11,MATCH($E35,SKU!$B$4:$B$11,0))),"SKU?")</f>
        <v/>
      </c>
      <c r="H35" s="20">
        <f>IFERROR(IF(INDEX(SKU!$J$4:$J$11,MATCH($E35,SKU!$B$4:$B$11,0))="","",INDEX(SKU!$J$4:$J$11,MATCH($E35,SKU!$B$4:$B$11,0))),"SKU?")</f>
        <v/>
      </c>
      <c r="I35" s="21">
        <f>IFERROR(INDEX(SKU!$E$4:$E$11,MATCH($E35,SKU!$B$4:$B$11,0)),"SKU?")</f>
        <v/>
      </c>
      <c r="J35" s="22" t="n"/>
      <c r="K35" s="19" t="inlineStr">
        <is>
          <t>offer</t>
        </is>
      </c>
    </row>
    <row r="36">
      <c r="A36" s="19" t="inlineStr">
        <is>
          <t>Chai</t>
        </is>
      </c>
      <c r="B36" s="19" t="inlineStr">
        <is>
          <t>chai-dream-girl</t>
        </is>
      </c>
      <c r="C36" s="19" t="inlineStr">
        <is>
          <t>funnelfox-upload-2026-10-01/chai/chai-dream-girl.html</t>
        </is>
      </c>
      <c r="D36" s="19" t="inlineStr">
        <is>
          <t>offer_m3</t>
        </is>
      </c>
      <c r="E36" s="19" t="inlineStr">
        <is>
          <t>chai_web_3m_sale</t>
        </is>
      </c>
      <c r="F36" s="19" t="inlineStr"/>
      <c r="G36" s="20">
        <f>IFERROR(IF(INDEX(SKU!$I$4:$I$11,MATCH($E36,SKU!$B$4:$B$11,0))="","",INDEX(SKU!$I$4:$I$11,MATCH($E36,SKU!$B$4:$B$11,0))),"SKU?")</f>
        <v/>
      </c>
      <c r="H36" s="20">
        <f>IFERROR(IF(INDEX(SKU!$J$4:$J$11,MATCH($E36,SKU!$B$4:$B$11,0))="","",INDEX(SKU!$J$4:$J$11,MATCH($E36,SKU!$B$4:$B$11,0))),"SKU?")</f>
        <v/>
      </c>
      <c r="I36" s="21">
        <f>IFERROR(INDEX(SKU!$E$4:$E$11,MATCH($E36,SKU!$B$4:$B$11,0)),"SKU?")</f>
        <v/>
      </c>
      <c r="J36" s="22" t="n"/>
      <c r="K36" s="19" t="inlineStr">
        <is>
          <t>offer</t>
        </is>
      </c>
    </row>
    <row r="37">
      <c r="A37" s="19" t="inlineStr">
        <is>
          <t>Chai</t>
        </is>
      </c>
      <c r="B37" s="19" t="inlineStr">
        <is>
          <t>chai-dream-girl</t>
        </is>
      </c>
      <c r="C37" s="19" t="inlineStr">
        <is>
          <t>funnelfox-upload-2026-10-01/chai/chai-dream-girl.html</t>
        </is>
      </c>
      <c r="D37" s="19" t="inlineStr">
        <is>
          <t>offer_y12</t>
        </is>
      </c>
      <c r="E37" s="19" t="inlineStr">
        <is>
          <t>chai_web_12m_sale</t>
        </is>
      </c>
      <c r="F37" s="19" t="inlineStr"/>
      <c r="G37" s="20">
        <f>IFERROR(IF(INDEX(SKU!$I$4:$I$11,MATCH($E37,SKU!$B$4:$B$11,0))="","",INDEX(SKU!$I$4:$I$11,MATCH($E37,SKU!$B$4:$B$11,0))),"SKU?")</f>
        <v/>
      </c>
      <c r="H37" s="20">
        <f>IFERROR(IF(INDEX(SKU!$J$4:$J$11,MATCH($E37,SKU!$B$4:$B$11,0))="","",INDEX(SKU!$J$4:$J$11,MATCH($E37,SKU!$B$4:$B$11,0))),"SKU?")</f>
        <v/>
      </c>
      <c r="I37" s="21">
        <f>IFERROR(INDEX(SKU!$E$4:$E$11,MATCH($E37,SKU!$B$4:$B$11,0)),"SKU?")</f>
        <v/>
      </c>
      <c r="J37" s="22" t="n"/>
      <c r="K37" s="19" t="inlineStr">
        <is>
          <t>offer</t>
        </is>
      </c>
    </row>
    <row r="38">
      <c r="A38" s="19" t="inlineStr">
        <is>
          <t>Chai</t>
        </is>
      </c>
      <c r="B38" s="19" t="inlineStr">
        <is>
          <t>chai-dream-girl</t>
        </is>
      </c>
      <c r="C38" s="19" t="inlineStr">
        <is>
          <t>funnelfox-upload-2026-10-01/chai/chai-dream-girl.html</t>
        </is>
      </c>
      <c r="D38" s="19" t="inlineStr">
        <is>
          <t>lifetime</t>
        </is>
      </c>
      <c r="E38" s="19" t="inlineStr">
        <is>
          <t>chai_lifetime</t>
        </is>
      </c>
      <c r="F38" s="19" t="inlineStr"/>
      <c r="G38" s="20">
        <f>IFERROR(IF(INDEX(SKU!$I$4:$I$11,MATCH($E38,SKU!$B$4:$B$11,0))="","",INDEX(SKU!$I$4:$I$11,MATCH($E38,SKU!$B$4:$B$11,0))),"SKU?")</f>
        <v/>
      </c>
      <c r="H38" s="20">
        <f>IFERROR(IF(INDEX(SKU!$J$4:$J$11,MATCH($E38,SKU!$B$4:$B$11,0))="","",INDEX(SKU!$J$4:$J$11,MATCH($E38,SKU!$B$4:$B$11,0))),"SKU?")</f>
        <v/>
      </c>
      <c r="I38" s="21">
        <f>IFERROR(INDEX(SKU!$E$4:$E$11,MATCH($E38,SKU!$B$4:$B$11,0)),"SKU?")</f>
        <v/>
      </c>
      <c r="J38" s="22" t="n"/>
      <c r="K38" s="19" t="inlineStr">
        <is>
          <t>lifetime</t>
        </is>
      </c>
    </row>
    <row r="39">
      <c r="A39" s="19" t="inlineStr">
        <is>
          <t>Chai</t>
        </is>
      </c>
      <c r="B39" s="19" t="inlineStr">
        <is>
          <t>chai-named-character</t>
        </is>
      </c>
      <c r="C39" s="19" t="inlineStr">
        <is>
          <t>funnelfox-upload-2026-10-02/chai/chai-named-character.html</t>
        </is>
      </c>
      <c r="D39" s="19" t="inlineStr">
        <is>
          <t>m1</t>
        </is>
      </c>
      <c r="E39" s="19" t="inlineStr">
        <is>
          <t>chai_web_1m</t>
        </is>
      </c>
      <c r="F39" s="19" t="inlineStr"/>
      <c r="G39" s="20">
        <f>IFERROR(IF(INDEX(SKU!$I$4:$I$11,MATCH($E39,SKU!$B$4:$B$11,0))="","",INDEX(SKU!$I$4:$I$11,MATCH($E39,SKU!$B$4:$B$11,0))),"SKU?")</f>
        <v/>
      </c>
      <c r="H39" s="20">
        <f>IFERROR(IF(INDEX(SKU!$J$4:$J$11,MATCH($E39,SKU!$B$4:$B$11,0))="","",INDEX(SKU!$J$4:$J$11,MATCH($E39,SKU!$B$4:$B$11,0))),"SKU?")</f>
        <v/>
      </c>
      <c r="I39" s="21">
        <f>IFERROR(INDEX(SKU!$E$4:$E$11,MATCH($E39,SKU!$B$4:$B$11,0)),"SKU?")</f>
        <v/>
      </c>
      <c r="J39" s="22" t="n"/>
      <c r="K39" s="19" t="inlineStr">
        <is>
          <t>m1</t>
        </is>
      </c>
    </row>
    <row r="40">
      <c r="A40" s="19" t="inlineStr">
        <is>
          <t>Chai</t>
        </is>
      </c>
      <c r="B40" s="19" t="inlineStr">
        <is>
          <t>chai-named-character</t>
        </is>
      </c>
      <c r="C40" s="19" t="inlineStr">
        <is>
          <t>funnelfox-upload-2026-10-02/chai/chai-named-character.html</t>
        </is>
      </c>
      <c r="D40" s="19" t="inlineStr">
        <is>
          <t>m3</t>
        </is>
      </c>
      <c r="E40" s="19" t="inlineStr">
        <is>
          <t>chai_web_3m</t>
        </is>
      </c>
      <c r="F40" s="19" t="inlineStr"/>
      <c r="G40" s="20">
        <f>IFERROR(IF(INDEX(SKU!$I$4:$I$11,MATCH($E40,SKU!$B$4:$B$11,0))="","",INDEX(SKU!$I$4:$I$11,MATCH($E40,SKU!$B$4:$B$11,0))),"SKU?")</f>
        <v/>
      </c>
      <c r="H40" s="20">
        <f>IFERROR(IF(INDEX(SKU!$J$4:$J$11,MATCH($E40,SKU!$B$4:$B$11,0))="","",INDEX(SKU!$J$4:$J$11,MATCH($E40,SKU!$B$4:$B$11,0))),"SKU?")</f>
        <v/>
      </c>
      <c r="I40" s="21">
        <f>IFERROR(INDEX(SKU!$E$4:$E$11,MATCH($E40,SKU!$B$4:$B$11,0)),"SKU?")</f>
        <v/>
      </c>
      <c r="J40" s="22" t="n"/>
      <c r="K40" s="19" t="inlineStr">
        <is>
          <t>m3</t>
        </is>
      </c>
    </row>
    <row r="41">
      <c r="A41" s="19" t="inlineStr">
        <is>
          <t>Chai</t>
        </is>
      </c>
      <c r="B41" s="19" t="inlineStr">
        <is>
          <t>chai-named-character</t>
        </is>
      </c>
      <c r="C41" s="19" t="inlineStr">
        <is>
          <t>funnelfox-upload-2026-10-02/chai/chai-named-character.html</t>
        </is>
      </c>
      <c r="D41" s="19" t="inlineStr">
        <is>
          <t>y12</t>
        </is>
      </c>
      <c r="E41" s="19" t="inlineStr">
        <is>
          <t>chai_web_12m</t>
        </is>
      </c>
      <c r="F41" s="23" t="inlineStr">
        <is>
          <t>Có</t>
        </is>
      </c>
      <c r="G41" s="20">
        <f>IFERROR(IF(INDEX(SKU!$I$4:$I$11,MATCH($E41,SKU!$B$4:$B$11,0))="","",INDEX(SKU!$I$4:$I$11,MATCH($E41,SKU!$B$4:$B$11,0))),"SKU?")</f>
        <v/>
      </c>
      <c r="H41" s="20">
        <f>IFERROR(IF(INDEX(SKU!$J$4:$J$11,MATCH($E41,SKU!$B$4:$B$11,0))="","",INDEX(SKU!$J$4:$J$11,MATCH($E41,SKU!$B$4:$B$11,0))),"SKU?")</f>
        <v/>
      </c>
      <c r="I41" s="21">
        <f>IFERROR(INDEX(SKU!$E$4:$E$11,MATCH($E41,SKU!$B$4:$B$11,0)),"SKU?")</f>
        <v/>
      </c>
      <c r="J41" s="22" t="n"/>
      <c r="K41" s="19" t="inlineStr">
        <is>
          <t>y12</t>
        </is>
      </c>
    </row>
    <row r="42">
      <c r="A42" s="19" t="inlineStr">
        <is>
          <t>Chai</t>
        </is>
      </c>
      <c r="B42" s="19" t="inlineStr">
        <is>
          <t>chai-named-character</t>
        </is>
      </c>
      <c r="C42" s="19" t="inlineStr">
        <is>
          <t>funnelfox-upload-2026-10-02/chai/chai-named-character.html</t>
        </is>
      </c>
      <c r="D42" s="19" t="inlineStr">
        <is>
          <t>offer_m1</t>
        </is>
      </c>
      <c r="E42" s="19" t="inlineStr">
        <is>
          <t>chai_web_1m_sale</t>
        </is>
      </c>
      <c r="F42" s="19" t="inlineStr"/>
      <c r="G42" s="20">
        <f>IFERROR(IF(INDEX(SKU!$I$4:$I$11,MATCH($E42,SKU!$B$4:$B$11,0))="","",INDEX(SKU!$I$4:$I$11,MATCH($E42,SKU!$B$4:$B$11,0))),"SKU?")</f>
        <v/>
      </c>
      <c r="H42" s="20">
        <f>IFERROR(IF(INDEX(SKU!$J$4:$J$11,MATCH($E42,SKU!$B$4:$B$11,0))="","",INDEX(SKU!$J$4:$J$11,MATCH($E42,SKU!$B$4:$B$11,0))),"SKU?")</f>
        <v/>
      </c>
      <c r="I42" s="21">
        <f>IFERROR(INDEX(SKU!$E$4:$E$11,MATCH($E42,SKU!$B$4:$B$11,0)),"SKU?")</f>
        <v/>
      </c>
      <c r="J42" s="22" t="n"/>
      <c r="K42" s="19" t="inlineStr">
        <is>
          <t>offer</t>
        </is>
      </c>
    </row>
    <row r="43">
      <c r="A43" s="19" t="inlineStr">
        <is>
          <t>Chai</t>
        </is>
      </c>
      <c r="B43" s="19" t="inlineStr">
        <is>
          <t>chai-named-character</t>
        </is>
      </c>
      <c r="C43" s="19" t="inlineStr">
        <is>
          <t>funnelfox-upload-2026-10-02/chai/chai-named-character.html</t>
        </is>
      </c>
      <c r="D43" s="19" t="inlineStr">
        <is>
          <t>offer_m3</t>
        </is>
      </c>
      <c r="E43" s="19" t="inlineStr">
        <is>
          <t>chai_web_3m_sale</t>
        </is>
      </c>
      <c r="F43" s="19" t="inlineStr"/>
      <c r="G43" s="20">
        <f>IFERROR(IF(INDEX(SKU!$I$4:$I$11,MATCH($E43,SKU!$B$4:$B$11,0))="","",INDEX(SKU!$I$4:$I$11,MATCH($E43,SKU!$B$4:$B$11,0))),"SKU?")</f>
        <v/>
      </c>
      <c r="H43" s="20">
        <f>IFERROR(IF(INDEX(SKU!$J$4:$J$11,MATCH($E43,SKU!$B$4:$B$11,0))="","",INDEX(SKU!$J$4:$J$11,MATCH($E43,SKU!$B$4:$B$11,0))),"SKU?")</f>
        <v/>
      </c>
      <c r="I43" s="21">
        <f>IFERROR(INDEX(SKU!$E$4:$E$11,MATCH($E43,SKU!$B$4:$B$11,0)),"SKU?")</f>
        <v/>
      </c>
      <c r="J43" s="22" t="n"/>
      <c r="K43" s="19" t="inlineStr">
        <is>
          <t>offer</t>
        </is>
      </c>
    </row>
    <row r="44">
      <c r="A44" s="19" t="inlineStr">
        <is>
          <t>Chai</t>
        </is>
      </c>
      <c r="B44" s="19" t="inlineStr">
        <is>
          <t>chai-named-character</t>
        </is>
      </c>
      <c r="C44" s="19" t="inlineStr">
        <is>
          <t>funnelfox-upload-2026-10-02/chai/chai-named-character.html</t>
        </is>
      </c>
      <c r="D44" s="19" t="inlineStr">
        <is>
          <t>offer_y12</t>
        </is>
      </c>
      <c r="E44" s="19" t="inlineStr">
        <is>
          <t>chai_web_12m_sale</t>
        </is>
      </c>
      <c r="F44" s="19" t="inlineStr"/>
      <c r="G44" s="20">
        <f>IFERROR(IF(INDEX(SKU!$I$4:$I$11,MATCH($E44,SKU!$B$4:$B$11,0))="","",INDEX(SKU!$I$4:$I$11,MATCH($E44,SKU!$B$4:$B$11,0))),"SKU?")</f>
        <v/>
      </c>
      <c r="H44" s="20">
        <f>IFERROR(IF(INDEX(SKU!$J$4:$J$11,MATCH($E44,SKU!$B$4:$B$11,0))="","",INDEX(SKU!$J$4:$J$11,MATCH($E44,SKU!$B$4:$B$11,0))),"SKU?")</f>
        <v/>
      </c>
      <c r="I44" s="21">
        <f>IFERROR(INDEX(SKU!$E$4:$E$11,MATCH($E44,SKU!$B$4:$B$11,0)),"SKU?")</f>
        <v/>
      </c>
      <c r="J44" s="22" t="n"/>
      <c r="K44" s="19" t="inlineStr">
        <is>
          <t>offer</t>
        </is>
      </c>
    </row>
    <row r="45">
      <c r="A45" s="19" t="inlineStr">
        <is>
          <t>Chai</t>
        </is>
      </c>
      <c r="B45" s="19" t="inlineStr">
        <is>
          <t>chai-named-character</t>
        </is>
      </c>
      <c r="C45" s="19" t="inlineStr">
        <is>
          <t>funnelfox-upload-2026-10-02/chai/chai-named-character.html</t>
        </is>
      </c>
      <c r="D45" s="19" t="inlineStr">
        <is>
          <t>lifetime</t>
        </is>
      </c>
      <c r="E45" s="19" t="inlineStr">
        <is>
          <t>chai_lifetime</t>
        </is>
      </c>
      <c r="F45" s="19" t="inlineStr"/>
      <c r="G45" s="20">
        <f>IFERROR(IF(INDEX(SKU!$I$4:$I$11,MATCH($E45,SKU!$B$4:$B$11,0))="","",INDEX(SKU!$I$4:$I$11,MATCH($E45,SKU!$B$4:$B$11,0))),"SKU?")</f>
        <v/>
      </c>
      <c r="H45" s="20">
        <f>IFERROR(IF(INDEX(SKU!$J$4:$J$11,MATCH($E45,SKU!$B$4:$B$11,0))="","",INDEX(SKU!$J$4:$J$11,MATCH($E45,SKU!$B$4:$B$11,0))),"SKU?")</f>
        <v/>
      </c>
      <c r="I45" s="21">
        <f>IFERROR(INDEX(SKU!$E$4:$E$11,MATCH($E45,SKU!$B$4:$B$11,0)),"SKU?")</f>
        <v/>
      </c>
      <c r="J45" s="22" t="n"/>
      <c r="K45" s="19" t="inlineStr">
        <is>
          <t>lifetime</t>
        </is>
      </c>
    </row>
    <row r="46">
      <c r="A46" s="19" t="inlineStr">
        <is>
          <t>Chai</t>
        </is>
      </c>
      <c r="B46" s="19" t="inlineStr">
        <is>
          <t>chai-roleplay</t>
        </is>
      </c>
      <c r="C46" s="19" t="inlineStr">
        <is>
          <t>funnelfox-upload-2026-10-02/chai/chai-roleplay.html</t>
        </is>
      </c>
      <c r="D46" s="19" t="inlineStr">
        <is>
          <t>m1</t>
        </is>
      </c>
      <c r="E46" s="19" t="inlineStr">
        <is>
          <t>chai_web_1m</t>
        </is>
      </c>
      <c r="F46" s="19" t="inlineStr"/>
      <c r="G46" s="20">
        <f>IFERROR(IF(INDEX(SKU!$I$4:$I$11,MATCH($E46,SKU!$B$4:$B$11,0))="","",INDEX(SKU!$I$4:$I$11,MATCH($E46,SKU!$B$4:$B$11,0))),"SKU?")</f>
        <v/>
      </c>
      <c r="H46" s="20">
        <f>IFERROR(IF(INDEX(SKU!$J$4:$J$11,MATCH($E46,SKU!$B$4:$B$11,0))="","",INDEX(SKU!$J$4:$J$11,MATCH($E46,SKU!$B$4:$B$11,0))),"SKU?")</f>
        <v/>
      </c>
      <c r="I46" s="21">
        <f>IFERROR(INDEX(SKU!$E$4:$E$11,MATCH($E46,SKU!$B$4:$B$11,0)),"SKU?")</f>
        <v/>
      </c>
      <c r="J46" s="22" t="n"/>
      <c r="K46" s="19" t="inlineStr">
        <is>
          <t>m1</t>
        </is>
      </c>
    </row>
    <row r="47">
      <c r="A47" s="19" t="inlineStr">
        <is>
          <t>Chai</t>
        </is>
      </c>
      <c r="B47" s="19" t="inlineStr">
        <is>
          <t>chai-roleplay</t>
        </is>
      </c>
      <c r="C47" s="19" t="inlineStr">
        <is>
          <t>funnelfox-upload-2026-10-02/chai/chai-roleplay.html</t>
        </is>
      </c>
      <c r="D47" s="19" t="inlineStr">
        <is>
          <t>m3</t>
        </is>
      </c>
      <c r="E47" s="19" t="inlineStr">
        <is>
          <t>chai_web_3m</t>
        </is>
      </c>
      <c r="F47" s="19" t="inlineStr"/>
      <c r="G47" s="20">
        <f>IFERROR(IF(INDEX(SKU!$I$4:$I$11,MATCH($E47,SKU!$B$4:$B$11,0))="","",INDEX(SKU!$I$4:$I$11,MATCH($E47,SKU!$B$4:$B$11,0))),"SKU?")</f>
        <v/>
      </c>
      <c r="H47" s="20">
        <f>IFERROR(IF(INDEX(SKU!$J$4:$J$11,MATCH($E47,SKU!$B$4:$B$11,0))="","",INDEX(SKU!$J$4:$J$11,MATCH($E47,SKU!$B$4:$B$11,0))),"SKU?")</f>
        <v/>
      </c>
      <c r="I47" s="21">
        <f>IFERROR(INDEX(SKU!$E$4:$E$11,MATCH($E47,SKU!$B$4:$B$11,0)),"SKU?")</f>
        <v/>
      </c>
      <c r="J47" s="22" t="n"/>
      <c r="K47" s="19" t="inlineStr">
        <is>
          <t>m3</t>
        </is>
      </c>
    </row>
    <row r="48">
      <c r="A48" s="19" t="inlineStr">
        <is>
          <t>Chai</t>
        </is>
      </c>
      <c r="B48" s="19" t="inlineStr">
        <is>
          <t>chai-roleplay</t>
        </is>
      </c>
      <c r="C48" s="19" t="inlineStr">
        <is>
          <t>funnelfox-upload-2026-10-02/chai/chai-roleplay.html</t>
        </is>
      </c>
      <c r="D48" s="19" t="inlineStr">
        <is>
          <t>y12</t>
        </is>
      </c>
      <c r="E48" s="19" t="inlineStr">
        <is>
          <t>chai_web_12m</t>
        </is>
      </c>
      <c r="F48" s="23" t="inlineStr">
        <is>
          <t>Có</t>
        </is>
      </c>
      <c r="G48" s="20">
        <f>IFERROR(IF(INDEX(SKU!$I$4:$I$11,MATCH($E48,SKU!$B$4:$B$11,0))="","",INDEX(SKU!$I$4:$I$11,MATCH($E48,SKU!$B$4:$B$11,0))),"SKU?")</f>
        <v/>
      </c>
      <c r="H48" s="20">
        <f>IFERROR(IF(INDEX(SKU!$J$4:$J$11,MATCH($E48,SKU!$B$4:$B$11,0))="","",INDEX(SKU!$J$4:$J$11,MATCH($E48,SKU!$B$4:$B$11,0))),"SKU?")</f>
        <v/>
      </c>
      <c r="I48" s="21">
        <f>IFERROR(INDEX(SKU!$E$4:$E$11,MATCH($E48,SKU!$B$4:$B$11,0)),"SKU?")</f>
        <v/>
      </c>
      <c r="J48" s="22" t="n"/>
      <c r="K48" s="19" t="inlineStr">
        <is>
          <t>y12</t>
        </is>
      </c>
    </row>
    <row r="49">
      <c r="A49" s="19" t="inlineStr">
        <is>
          <t>Chai</t>
        </is>
      </c>
      <c r="B49" s="19" t="inlineStr">
        <is>
          <t>chai-roleplay</t>
        </is>
      </c>
      <c r="C49" s="19" t="inlineStr">
        <is>
          <t>funnelfox-upload-2026-10-02/chai/chai-roleplay.html</t>
        </is>
      </c>
      <c r="D49" s="19" t="inlineStr">
        <is>
          <t>offer_m1</t>
        </is>
      </c>
      <c r="E49" s="19" t="inlineStr">
        <is>
          <t>chai_web_1m_sale</t>
        </is>
      </c>
      <c r="F49" s="19" t="inlineStr"/>
      <c r="G49" s="20">
        <f>IFERROR(IF(INDEX(SKU!$I$4:$I$11,MATCH($E49,SKU!$B$4:$B$11,0))="","",INDEX(SKU!$I$4:$I$11,MATCH($E49,SKU!$B$4:$B$11,0))),"SKU?")</f>
        <v/>
      </c>
      <c r="H49" s="20">
        <f>IFERROR(IF(INDEX(SKU!$J$4:$J$11,MATCH($E49,SKU!$B$4:$B$11,0))="","",INDEX(SKU!$J$4:$J$11,MATCH($E49,SKU!$B$4:$B$11,0))),"SKU?")</f>
        <v/>
      </c>
      <c r="I49" s="21">
        <f>IFERROR(INDEX(SKU!$E$4:$E$11,MATCH($E49,SKU!$B$4:$B$11,0)),"SKU?")</f>
        <v/>
      </c>
      <c r="J49" s="22" t="n"/>
      <c r="K49" s="19" t="inlineStr">
        <is>
          <t>offer</t>
        </is>
      </c>
    </row>
    <row r="50">
      <c r="A50" s="19" t="inlineStr">
        <is>
          <t>Chai</t>
        </is>
      </c>
      <c r="B50" s="19" t="inlineStr">
        <is>
          <t>chai-roleplay</t>
        </is>
      </c>
      <c r="C50" s="19" t="inlineStr">
        <is>
          <t>funnelfox-upload-2026-10-02/chai/chai-roleplay.html</t>
        </is>
      </c>
      <c r="D50" s="19" t="inlineStr">
        <is>
          <t>offer_m3</t>
        </is>
      </c>
      <c r="E50" s="19" t="inlineStr">
        <is>
          <t>chai_web_3m_sale</t>
        </is>
      </c>
      <c r="F50" s="19" t="inlineStr"/>
      <c r="G50" s="20">
        <f>IFERROR(IF(INDEX(SKU!$I$4:$I$11,MATCH($E50,SKU!$B$4:$B$11,0))="","",INDEX(SKU!$I$4:$I$11,MATCH($E50,SKU!$B$4:$B$11,0))),"SKU?")</f>
        <v/>
      </c>
      <c r="H50" s="20">
        <f>IFERROR(IF(INDEX(SKU!$J$4:$J$11,MATCH($E50,SKU!$B$4:$B$11,0))="","",INDEX(SKU!$J$4:$J$11,MATCH($E50,SKU!$B$4:$B$11,0))),"SKU?")</f>
        <v/>
      </c>
      <c r="I50" s="21">
        <f>IFERROR(INDEX(SKU!$E$4:$E$11,MATCH($E50,SKU!$B$4:$B$11,0)),"SKU?")</f>
        <v/>
      </c>
      <c r="J50" s="22" t="n"/>
      <c r="K50" s="19" t="inlineStr">
        <is>
          <t>offer</t>
        </is>
      </c>
    </row>
    <row r="51">
      <c r="A51" s="19" t="inlineStr">
        <is>
          <t>Chai</t>
        </is>
      </c>
      <c r="B51" s="19" t="inlineStr">
        <is>
          <t>chai-roleplay</t>
        </is>
      </c>
      <c r="C51" s="19" t="inlineStr">
        <is>
          <t>funnelfox-upload-2026-10-02/chai/chai-roleplay.html</t>
        </is>
      </c>
      <c r="D51" s="19" t="inlineStr">
        <is>
          <t>offer_y12</t>
        </is>
      </c>
      <c r="E51" s="19" t="inlineStr">
        <is>
          <t>chai_web_12m_sale</t>
        </is>
      </c>
      <c r="F51" s="19" t="inlineStr"/>
      <c r="G51" s="20">
        <f>IFERROR(IF(INDEX(SKU!$I$4:$I$11,MATCH($E51,SKU!$B$4:$B$11,0))="","",INDEX(SKU!$I$4:$I$11,MATCH($E51,SKU!$B$4:$B$11,0))),"SKU?")</f>
        <v/>
      </c>
      <c r="H51" s="20">
        <f>IFERROR(IF(INDEX(SKU!$J$4:$J$11,MATCH($E51,SKU!$B$4:$B$11,0))="","",INDEX(SKU!$J$4:$J$11,MATCH($E51,SKU!$B$4:$B$11,0))),"SKU?")</f>
        <v/>
      </c>
      <c r="I51" s="21">
        <f>IFERROR(INDEX(SKU!$E$4:$E$11,MATCH($E51,SKU!$B$4:$B$11,0)),"SKU?")</f>
        <v/>
      </c>
      <c r="J51" s="22" t="n"/>
      <c r="K51" s="19" t="inlineStr">
        <is>
          <t>offer</t>
        </is>
      </c>
    </row>
    <row r="52">
      <c r="A52" s="19" t="inlineStr">
        <is>
          <t>Chai</t>
        </is>
      </c>
      <c r="B52" s="19" t="inlineStr">
        <is>
          <t>chai-roleplay</t>
        </is>
      </c>
      <c r="C52" s="19" t="inlineStr">
        <is>
          <t>funnelfox-upload-2026-10-02/chai/chai-roleplay.html</t>
        </is>
      </c>
      <c r="D52" s="19" t="inlineStr">
        <is>
          <t>lifetime</t>
        </is>
      </c>
      <c r="E52" s="19" t="inlineStr">
        <is>
          <t>chai_lifetime</t>
        </is>
      </c>
      <c r="F52" s="19" t="inlineStr"/>
      <c r="G52" s="20">
        <f>IFERROR(IF(INDEX(SKU!$I$4:$I$11,MATCH($E52,SKU!$B$4:$B$11,0))="","",INDEX(SKU!$I$4:$I$11,MATCH($E52,SKU!$B$4:$B$11,0))),"SKU?")</f>
        <v/>
      </c>
      <c r="H52" s="20">
        <f>IFERROR(IF(INDEX(SKU!$J$4:$J$11,MATCH($E52,SKU!$B$4:$B$11,0))="","",INDEX(SKU!$J$4:$J$11,MATCH($E52,SKU!$B$4:$B$11,0))),"SKU?")</f>
        <v/>
      </c>
      <c r="I52" s="21">
        <f>IFERROR(INDEX(SKU!$E$4:$E$11,MATCH($E52,SKU!$B$4:$B$11,0)),"SKU?")</f>
        <v/>
      </c>
      <c r="J52" s="22" t="n"/>
      <c r="K52" s="19" t="inlineStr">
        <is>
          <t>lifetime</t>
        </is>
      </c>
    </row>
    <row r="53">
      <c r="A53" s="19" t="inlineStr">
        <is>
          <t>Chai</t>
        </is>
      </c>
      <c r="B53" s="19" t="inlineStr">
        <is>
          <t>chai-short-drama</t>
        </is>
      </c>
      <c r="C53" s="19" t="inlineStr">
        <is>
          <t>funnelfox-upload-2026-10-02/chai/chai-short-drama.html</t>
        </is>
      </c>
      <c r="D53" s="19" t="inlineStr">
        <is>
          <t>m1</t>
        </is>
      </c>
      <c r="E53" s="19" t="inlineStr">
        <is>
          <t>chai_web_1m</t>
        </is>
      </c>
      <c r="F53" s="19" t="inlineStr"/>
      <c r="G53" s="20">
        <f>IFERROR(IF(INDEX(SKU!$I$4:$I$11,MATCH($E53,SKU!$B$4:$B$11,0))="","",INDEX(SKU!$I$4:$I$11,MATCH($E53,SKU!$B$4:$B$11,0))),"SKU?")</f>
        <v/>
      </c>
      <c r="H53" s="20">
        <f>IFERROR(IF(INDEX(SKU!$J$4:$J$11,MATCH($E53,SKU!$B$4:$B$11,0))="","",INDEX(SKU!$J$4:$J$11,MATCH($E53,SKU!$B$4:$B$11,0))),"SKU?")</f>
        <v/>
      </c>
      <c r="I53" s="21">
        <f>IFERROR(INDEX(SKU!$E$4:$E$11,MATCH($E53,SKU!$B$4:$B$11,0)),"SKU?")</f>
        <v/>
      </c>
      <c r="J53" s="22" t="n"/>
      <c r="K53" s="19" t="inlineStr">
        <is>
          <t>m1</t>
        </is>
      </c>
    </row>
    <row r="54">
      <c r="A54" s="19" t="inlineStr">
        <is>
          <t>Chai</t>
        </is>
      </c>
      <c r="B54" s="19" t="inlineStr">
        <is>
          <t>chai-short-drama</t>
        </is>
      </c>
      <c r="C54" s="19" t="inlineStr">
        <is>
          <t>funnelfox-upload-2026-10-02/chai/chai-short-drama.html</t>
        </is>
      </c>
      <c r="D54" s="19" t="inlineStr">
        <is>
          <t>m3</t>
        </is>
      </c>
      <c r="E54" s="19" t="inlineStr">
        <is>
          <t>chai_web_3m</t>
        </is>
      </c>
      <c r="F54" s="19" t="inlineStr"/>
      <c r="G54" s="20">
        <f>IFERROR(IF(INDEX(SKU!$I$4:$I$11,MATCH($E54,SKU!$B$4:$B$11,0))="","",INDEX(SKU!$I$4:$I$11,MATCH($E54,SKU!$B$4:$B$11,0))),"SKU?")</f>
        <v/>
      </c>
      <c r="H54" s="20">
        <f>IFERROR(IF(INDEX(SKU!$J$4:$J$11,MATCH($E54,SKU!$B$4:$B$11,0))="","",INDEX(SKU!$J$4:$J$11,MATCH($E54,SKU!$B$4:$B$11,0))),"SKU?")</f>
        <v/>
      </c>
      <c r="I54" s="21">
        <f>IFERROR(INDEX(SKU!$E$4:$E$11,MATCH($E54,SKU!$B$4:$B$11,0)),"SKU?")</f>
        <v/>
      </c>
      <c r="J54" s="22" t="n"/>
      <c r="K54" s="19" t="inlineStr">
        <is>
          <t>m3</t>
        </is>
      </c>
    </row>
    <row r="55">
      <c r="A55" s="19" t="inlineStr">
        <is>
          <t>Chai</t>
        </is>
      </c>
      <c r="B55" s="19" t="inlineStr">
        <is>
          <t>chai-short-drama</t>
        </is>
      </c>
      <c r="C55" s="19" t="inlineStr">
        <is>
          <t>funnelfox-upload-2026-10-02/chai/chai-short-drama.html</t>
        </is>
      </c>
      <c r="D55" s="19" t="inlineStr">
        <is>
          <t>y12</t>
        </is>
      </c>
      <c r="E55" s="19" t="inlineStr">
        <is>
          <t>chai_web_12m</t>
        </is>
      </c>
      <c r="F55" s="23" t="inlineStr">
        <is>
          <t>Có</t>
        </is>
      </c>
      <c r="G55" s="20">
        <f>IFERROR(IF(INDEX(SKU!$I$4:$I$11,MATCH($E55,SKU!$B$4:$B$11,0))="","",INDEX(SKU!$I$4:$I$11,MATCH($E55,SKU!$B$4:$B$11,0))),"SKU?")</f>
        <v/>
      </c>
      <c r="H55" s="20">
        <f>IFERROR(IF(INDEX(SKU!$J$4:$J$11,MATCH($E55,SKU!$B$4:$B$11,0))="","",INDEX(SKU!$J$4:$J$11,MATCH($E55,SKU!$B$4:$B$11,0))),"SKU?")</f>
        <v/>
      </c>
      <c r="I55" s="21">
        <f>IFERROR(INDEX(SKU!$E$4:$E$11,MATCH($E55,SKU!$B$4:$B$11,0)),"SKU?")</f>
        <v/>
      </c>
      <c r="J55" s="22" t="n"/>
      <c r="K55" s="19" t="inlineStr">
        <is>
          <t>y12</t>
        </is>
      </c>
    </row>
    <row r="56">
      <c r="A56" s="19" t="inlineStr">
        <is>
          <t>Chai</t>
        </is>
      </c>
      <c r="B56" s="19" t="inlineStr">
        <is>
          <t>chai-short-drama</t>
        </is>
      </c>
      <c r="C56" s="19" t="inlineStr">
        <is>
          <t>funnelfox-upload-2026-10-02/chai/chai-short-drama.html</t>
        </is>
      </c>
      <c r="D56" s="19" t="inlineStr">
        <is>
          <t>offer_m1</t>
        </is>
      </c>
      <c r="E56" s="19" t="inlineStr">
        <is>
          <t>chai_web_1m_sale</t>
        </is>
      </c>
      <c r="F56" s="19" t="inlineStr"/>
      <c r="G56" s="20">
        <f>IFERROR(IF(INDEX(SKU!$I$4:$I$11,MATCH($E56,SKU!$B$4:$B$11,0))="","",INDEX(SKU!$I$4:$I$11,MATCH($E56,SKU!$B$4:$B$11,0))),"SKU?")</f>
        <v/>
      </c>
      <c r="H56" s="20">
        <f>IFERROR(IF(INDEX(SKU!$J$4:$J$11,MATCH($E56,SKU!$B$4:$B$11,0))="","",INDEX(SKU!$J$4:$J$11,MATCH($E56,SKU!$B$4:$B$11,0))),"SKU?")</f>
        <v/>
      </c>
      <c r="I56" s="21">
        <f>IFERROR(INDEX(SKU!$E$4:$E$11,MATCH($E56,SKU!$B$4:$B$11,0)),"SKU?")</f>
        <v/>
      </c>
      <c r="J56" s="22" t="n"/>
      <c r="K56" s="19" t="inlineStr">
        <is>
          <t>offer</t>
        </is>
      </c>
    </row>
    <row r="57">
      <c r="A57" s="19" t="inlineStr">
        <is>
          <t>Chai</t>
        </is>
      </c>
      <c r="B57" s="19" t="inlineStr">
        <is>
          <t>chai-short-drama</t>
        </is>
      </c>
      <c r="C57" s="19" t="inlineStr">
        <is>
          <t>funnelfox-upload-2026-10-02/chai/chai-short-drama.html</t>
        </is>
      </c>
      <c r="D57" s="19" t="inlineStr">
        <is>
          <t>offer_m3</t>
        </is>
      </c>
      <c r="E57" s="19" t="inlineStr">
        <is>
          <t>chai_web_3m_sale</t>
        </is>
      </c>
      <c r="F57" s="19" t="inlineStr"/>
      <c r="G57" s="20">
        <f>IFERROR(IF(INDEX(SKU!$I$4:$I$11,MATCH($E57,SKU!$B$4:$B$11,0))="","",INDEX(SKU!$I$4:$I$11,MATCH($E57,SKU!$B$4:$B$11,0))),"SKU?")</f>
        <v/>
      </c>
      <c r="H57" s="20">
        <f>IFERROR(IF(INDEX(SKU!$J$4:$J$11,MATCH($E57,SKU!$B$4:$B$11,0))="","",INDEX(SKU!$J$4:$J$11,MATCH($E57,SKU!$B$4:$B$11,0))),"SKU?")</f>
        <v/>
      </c>
      <c r="I57" s="21">
        <f>IFERROR(INDEX(SKU!$E$4:$E$11,MATCH($E57,SKU!$B$4:$B$11,0)),"SKU?")</f>
        <v/>
      </c>
      <c r="J57" s="22" t="n"/>
      <c r="K57" s="19" t="inlineStr">
        <is>
          <t>offer</t>
        </is>
      </c>
    </row>
    <row r="58">
      <c r="A58" s="19" t="inlineStr">
        <is>
          <t>Chai</t>
        </is>
      </c>
      <c r="B58" s="19" t="inlineStr">
        <is>
          <t>chai-short-drama</t>
        </is>
      </c>
      <c r="C58" s="19" t="inlineStr">
        <is>
          <t>funnelfox-upload-2026-10-02/chai/chai-short-drama.html</t>
        </is>
      </c>
      <c r="D58" s="19" t="inlineStr">
        <is>
          <t>offer_y12</t>
        </is>
      </c>
      <c r="E58" s="19" t="inlineStr">
        <is>
          <t>chai_web_12m_sale</t>
        </is>
      </c>
      <c r="F58" s="19" t="inlineStr"/>
      <c r="G58" s="20">
        <f>IFERROR(IF(INDEX(SKU!$I$4:$I$11,MATCH($E58,SKU!$B$4:$B$11,0))="","",INDEX(SKU!$I$4:$I$11,MATCH($E58,SKU!$B$4:$B$11,0))),"SKU?")</f>
        <v/>
      </c>
      <c r="H58" s="20">
        <f>IFERROR(IF(INDEX(SKU!$J$4:$J$11,MATCH($E58,SKU!$B$4:$B$11,0))="","",INDEX(SKU!$J$4:$J$11,MATCH($E58,SKU!$B$4:$B$11,0))),"SKU?")</f>
        <v/>
      </c>
      <c r="I58" s="21">
        <f>IFERROR(INDEX(SKU!$E$4:$E$11,MATCH($E58,SKU!$B$4:$B$11,0)),"SKU?")</f>
        <v/>
      </c>
      <c r="J58" s="22" t="n"/>
      <c r="K58" s="19" t="inlineStr">
        <is>
          <t>offer</t>
        </is>
      </c>
    </row>
    <row r="59">
      <c r="A59" s="19" t="inlineStr">
        <is>
          <t>Chai</t>
        </is>
      </c>
      <c r="B59" s="19" t="inlineStr">
        <is>
          <t>chai-short-drama</t>
        </is>
      </c>
      <c r="C59" s="19" t="inlineStr">
        <is>
          <t>funnelfox-upload-2026-10-02/chai/chai-short-drama.html</t>
        </is>
      </c>
      <c r="D59" s="19" t="inlineStr">
        <is>
          <t>lifetime</t>
        </is>
      </c>
      <c r="E59" s="19" t="inlineStr">
        <is>
          <t>chai_lifetime</t>
        </is>
      </c>
      <c r="F59" s="19" t="inlineStr"/>
      <c r="G59" s="20">
        <f>IFERROR(IF(INDEX(SKU!$I$4:$I$11,MATCH($E59,SKU!$B$4:$B$11,0))="","",INDEX(SKU!$I$4:$I$11,MATCH($E59,SKU!$B$4:$B$11,0))),"SKU?")</f>
        <v/>
      </c>
      <c r="H59" s="20">
        <f>IFERROR(IF(INDEX(SKU!$J$4:$J$11,MATCH($E59,SKU!$B$4:$B$11,0))="","",INDEX(SKU!$J$4:$J$11,MATCH($E59,SKU!$B$4:$B$11,0))),"SKU?")</f>
        <v/>
      </c>
      <c r="I59" s="21">
        <f>IFERROR(INDEX(SKU!$E$4:$E$11,MATCH($E59,SKU!$B$4:$B$11,0)),"SKU?")</f>
        <v/>
      </c>
      <c r="J59" s="22" t="n"/>
      <c r="K59" s="19" t="inlineStr">
        <is>
          <t>lifetime</t>
        </is>
      </c>
    </row>
    <row r="60">
      <c r="A60" s="24" t="inlineStr">
        <is>
          <t>Nebula</t>
        </is>
      </c>
      <c r="B60" s="24" t="inlineStr">
        <is>
          <t>nebula-astrocartography</t>
        </is>
      </c>
      <c r="C60" s="24" t="inlineStr">
        <is>
          <t>funnelfox-upload-2026-10-01/nebula/nebula-astrocartography.html</t>
        </is>
      </c>
      <c r="D60" s="24" t="inlineStr">
        <is>
          <t>main</t>
        </is>
      </c>
      <c r="E60" s="24" t="inlineStr">
        <is>
          <t>nebula_web_1w_to_1m</t>
        </is>
      </c>
      <c r="F60" s="25" t="inlineStr">
        <is>
          <t>Có</t>
        </is>
      </c>
      <c r="G60" s="26">
        <f>IFERROR(IF(INDEX(SKU!$I$4:$I$11,MATCH($E60,SKU!$B$4:$B$11,0))="","",INDEX(SKU!$I$4:$I$11,MATCH($E60,SKU!$B$4:$B$11,0))),"SKU?")</f>
        <v/>
      </c>
      <c r="H60" s="26">
        <f>IFERROR(IF(INDEX(SKU!$J$4:$J$11,MATCH($E60,SKU!$B$4:$B$11,0))="","",INDEX(SKU!$J$4:$J$11,MATCH($E60,SKU!$B$4:$B$11,0))),"SKU?")</f>
        <v/>
      </c>
      <c r="I60" s="27">
        <f>IFERROR(INDEX(SKU!$E$4:$E$11,MATCH($E60,SKU!$B$4:$B$11,0)),"SKU?")</f>
        <v/>
      </c>
      <c r="J60" s="22" t="n"/>
      <c r="K60" s="24" t="inlineStr">
        <is>
          <t>main</t>
        </is>
      </c>
    </row>
    <row r="61">
      <c r="A61" s="24" t="inlineStr">
        <is>
          <t>Nebula</t>
        </is>
      </c>
      <c r="B61" s="24" t="inlineStr">
        <is>
          <t>nebula-moon-reading</t>
        </is>
      </c>
      <c r="C61" s="24" t="inlineStr">
        <is>
          <t>funnelfox-upload-2026-10-01/nebula/nebula-moon-reading.html</t>
        </is>
      </c>
      <c r="D61" s="24" t="inlineStr">
        <is>
          <t>main</t>
        </is>
      </c>
      <c r="E61" s="24" t="inlineStr">
        <is>
          <t>nebula_web_1w_to_1m</t>
        </is>
      </c>
      <c r="F61" s="25" t="inlineStr">
        <is>
          <t>Có</t>
        </is>
      </c>
      <c r="G61" s="26">
        <f>IFERROR(IF(INDEX(SKU!$I$4:$I$11,MATCH($E61,SKU!$B$4:$B$11,0))="","",INDEX(SKU!$I$4:$I$11,MATCH($E61,SKU!$B$4:$B$11,0))),"SKU?")</f>
        <v/>
      </c>
      <c r="H61" s="26">
        <f>IFERROR(IF(INDEX(SKU!$J$4:$J$11,MATCH($E61,SKU!$B$4:$B$11,0))="","",INDEX(SKU!$J$4:$J$11,MATCH($E61,SKU!$B$4:$B$11,0))),"SKU?")</f>
        <v/>
      </c>
      <c r="I61" s="27">
        <f>IFERROR(INDEX(SKU!$E$4:$E$11,MATCH($E61,SKU!$B$4:$B$11,0)),"SKU?")</f>
        <v/>
      </c>
      <c r="J61" s="22" t="n"/>
      <c r="K61" s="24" t="inlineStr">
        <is>
          <t>main</t>
        </is>
      </c>
    </row>
    <row r="62">
      <c r="A62" s="24" t="inlineStr">
        <is>
          <t>Nebula</t>
        </is>
      </c>
      <c r="B62" s="24" t="inlineStr">
        <is>
          <t>nebula-palm-reading</t>
        </is>
      </c>
      <c r="C62" s="24" t="inlineStr">
        <is>
          <t>funnelfox-upload-2026-10-01/nebula/nebula-palm-reading.html</t>
        </is>
      </c>
      <c r="D62" s="24" t="inlineStr">
        <is>
          <t>main</t>
        </is>
      </c>
      <c r="E62" s="24" t="inlineStr">
        <is>
          <t>nebula_web_1w_to_1m</t>
        </is>
      </c>
      <c r="F62" s="25" t="inlineStr">
        <is>
          <t>Có</t>
        </is>
      </c>
      <c r="G62" s="26">
        <f>IFERROR(IF(INDEX(SKU!$I$4:$I$11,MATCH($E62,SKU!$B$4:$B$11,0))="","",INDEX(SKU!$I$4:$I$11,MATCH($E62,SKU!$B$4:$B$11,0))),"SKU?")</f>
        <v/>
      </c>
      <c r="H62" s="26">
        <f>IFERROR(IF(INDEX(SKU!$J$4:$J$11,MATCH($E62,SKU!$B$4:$B$11,0))="","",INDEX(SKU!$J$4:$J$11,MATCH($E62,SKU!$B$4:$B$11,0))),"SKU?")</f>
        <v/>
      </c>
      <c r="I62" s="27">
        <f>IFERROR(INDEX(SKU!$E$4:$E$11,MATCH($E62,SKU!$B$4:$B$11,0)),"SKU?")</f>
        <v/>
      </c>
      <c r="J62" s="22" t="n"/>
      <c r="K62" s="24" t="inlineStr">
        <is>
          <t>main</t>
        </is>
      </c>
    </row>
    <row r="63">
      <c r="A63" s="24" t="inlineStr">
        <is>
          <t>Nebula</t>
        </is>
      </c>
      <c r="B63" s="24" t="inlineStr">
        <is>
          <t>nebula-soulmate-sketch</t>
        </is>
      </c>
      <c r="C63" s="24" t="inlineStr">
        <is>
          <t>funnelfox-upload-2026-10-01/nebula/nebula-soulmate-sketch.html</t>
        </is>
      </c>
      <c r="D63" s="24" t="inlineStr">
        <is>
          <t>main</t>
        </is>
      </c>
      <c r="E63" s="24" t="inlineStr">
        <is>
          <t>nebula_web_1w_to_1m</t>
        </is>
      </c>
      <c r="F63" s="25" t="inlineStr">
        <is>
          <t>Có</t>
        </is>
      </c>
      <c r="G63" s="26">
        <f>IFERROR(IF(INDEX(SKU!$I$4:$I$11,MATCH($E63,SKU!$B$4:$B$11,0))="","",INDEX(SKU!$I$4:$I$11,MATCH($E63,SKU!$B$4:$B$11,0))),"SKU?")</f>
        <v/>
      </c>
      <c r="H63" s="26">
        <f>IFERROR(IF(INDEX(SKU!$J$4:$J$11,MATCH($E63,SKU!$B$4:$B$11,0))="","",INDEX(SKU!$J$4:$J$11,MATCH($E63,SKU!$B$4:$B$11,0))),"SKU?")</f>
        <v/>
      </c>
      <c r="I63" s="27">
        <f>IFERROR(INDEX(SKU!$E$4:$E$11,MATCH($E63,SKU!$B$4:$B$11,0)),"SKU?")</f>
        <v/>
      </c>
      <c r="J63" s="22" t="n"/>
      <c r="K63" s="24" t="inlineStr">
        <is>
          <t>main</t>
        </is>
      </c>
    </row>
    <row r="64">
      <c r="A64" s="24" t="inlineStr">
        <is>
          <t>Nebula</t>
        </is>
      </c>
      <c r="B64" s="24" t="inlineStr">
        <is>
          <t>nebula-aura-tarot</t>
        </is>
      </c>
      <c r="C64" s="24" t="inlineStr">
        <is>
          <t>funnelfox-upload-2026-10-02/nebula/nebula-aura-tarot.html</t>
        </is>
      </c>
      <c r="D64" s="24" t="inlineStr">
        <is>
          <t>main</t>
        </is>
      </c>
      <c r="E64" s="24" t="inlineStr">
        <is>
          <t>nebula_web_1w_to_1m</t>
        </is>
      </c>
      <c r="F64" s="25" t="inlineStr">
        <is>
          <t>Có</t>
        </is>
      </c>
      <c r="G64" s="26">
        <f>IFERROR(IF(INDEX(SKU!$I$4:$I$11,MATCH($E64,SKU!$B$4:$B$11,0))="","",INDEX(SKU!$I$4:$I$11,MATCH($E64,SKU!$B$4:$B$11,0))),"SKU?")</f>
        <v/>
      </c>
      <c r="H64" s="26">
        <f>IFERROR(IF(INDEX(SKU!$J$4:$J$11,MATCH($E64,SKU!$B$4:$B$11,0))="","",INDEX(SKU!$J$4:$J$11,MATCH($E64,SKU!$B$4:$B$11,0))),"SKU?")</f>
        <v/>
      </c>
      <c r="I64" s="27">
        <f>IFERROR(INDEX(SKU!$E$4:$E$11,MATCH($E64,SKU!$B$4:$B$11,0)),"SKU?")</f>
        <v/>
      </c>
      <c r="J64" s="22" t="n"/>
      <c r="K64" s="24" t="inlineStr">
        <is>
          <t>main</t>
        </is>
      </c>
    </row>
    <row r="65">
      <c r="A65" s="24" t="inlineStr">
        <is>
          <t>Nebula</t>
        </is>
      </c>
      <c r="B65" s="24" t="inlineStr">
        <is>
          <t>nebula-ex-compatibility</t>
        </is>
      </c>
      <c r="C65" s="24" t="inlineStr">
        <is>
          <t>funnelfox-upload-2026-10-02/nebula/nebula-ex-compatibility.html</t>
        </is>
      </c>
      <c r="D65" s="24" t="inlineStr">
        <is>
          <t>main</t>
        </is>
      </c>
      <c r="E65" s="24" t="inlineStr">
        <is>
          <t>nebula_web_1w_to_1m</t>
        </is>
      </c>
      <c r="F65" s="25" t="inlineStr">
        <is>
          <t>Có</t>
        </is>
      </c>
      <c r="G65" s="26">
        <f>IFERROR(IF(INDEX(SKU!$I$4:$I$11,MATCH($E65,SKU!$B$4:$B$11,0))="","",INDEX(SKU!$I$4:$I$11,MATCH($E65,SKU!$B$4:$B$11,0))),"SKU?")</f>
        <v/>
      </c>
      <c r="H65" s="26">
        <f>IFERROR(IF(INDEX(SKU!$J$4:$J$11,MATCH($E65,SKU!$B$4:$B$11,0))="","",INDEX(SKU!$J$4:$J$11,MATCH($E65,SKU!$B$4:$B$11,0))),"SKU?")</f>
        <v/>
      </c>
      <c r="I65" s="27">
        <f>IFERROR(INDEX(SKU!$E$4:$E$11,MATCH($E65,SKU!$B$4:$B$11,0)),"SKU?")</f>
        <v/>
      </c>
      <c r="J65" s="22" t="n"/>
      <c r="K65" s="24" t="inlineStr">
        <is>
          <t>main</t>
        </is>
      </c>
    </row>
    <row r="66">
      <c r="A66" s="24" t="inlineStr">
        <is>
          <t>Nebula</t>
        </is>
      </c>
      <c r="B66" s="24" t="inlineStr">
        <is>
          <t>nebula-marriage-compatibility</t>
        </is>
      </c>
      <c r="C66" s="24" t="inlineStr">
        <is>
          <t>funnelfox-upload-2026-10-02/nebula/nebula-marriage-compatibility.html</t>
        </is>
      </c>
      <c r="D66" s="24" t="inlineStr">
        <is>
          <t>main</t>
        </is>
      </c>
      <c r="E66" s="24" t="inlineStr">
        <is>
          <t>nebula_web_1w_to_1m</t>
        </is>
      </c>
      <c r="F66" s="25" t="inlineStr">
        <is>
          <t>Có</t>
        </is>
      </c>
      <c r="G66" s="26">
        <f>IFERROR(IF(INDEX(SKU!$I$4:$I$11,MATCH($E66,SKU!$B$4:$B$11,0))="","",INDEX(SKU!$I$4:$I$11,MATCH($E66,SKU!$B$4:$B$11,0))),"SKU?")</f>
        <v/>
      </c>
      <c r="H66" s="26">
        <f>IFERROR(IF(INDEX(SKU!$J$4:$J$11,MATCH($E66,SKU!$B$4:$B$11,0))="","",INDEX(SKU!$J$4:$J$11,MATCH($E66,SKU!$B$4:$B$11,0))),"SKU?")</f>
        <v/>
      </c>
      <c r="I66" s="27">
        <f>IFERROR(INDEX(SKU!$E$4:$E$11,MATCH($E66,SKU!$B$4:$B$11,0)),"SKU?")</f>
        <v/>
      </c>
      <c r="J66" s="22" t="n"/>
      <c r="K66" s="24" t="inlineStr">
        <is>
          <t>main</t>
        </is>
      </c>
    </row>
    <row r="67">
      <c r="A67" s="24" t="inlineStr">
        <is>
          <t>Nebula</t>
        </is>
      </c>
      <c r="B67" s="24" t="inlineStr">
        <is>
          <t>nebula-past-life</t>
        </is>
      </c>
      <c r="C67" s="24" t="inlineStr">
        <is>
          <t>funnelfox-upload-2026-10-02/nebula/nebula-past-life.html</t>
        </is>
      </c>
      <c r="D67" s="24" t="inlineStr">
        <is>
          <t>main</t>
        </is>
      </c>
      <c r="E67" s="24" t="inlineStr">
        <is>
          <t>nebula_web_1w_to_1m</t>
        </is>
      </c>
      <c r="F67" s="25" t="inlineStr">
        <is>
          <t>Có</t>
        </is>
      </c>
      <c r="G67" s="26">
        <f>IFERROR(IF(INDEX(SKU!$I$4:$I$11,MATCH($E67,SKU!$B$4:$B$11,0))="","",INDEX(SKU!$I$4:$I$11,MATCH($E67,SKU!$B$4:$B$11,0))),"SKU?")</f>
        <v/>
      </c>
      <c r="H67" s="26">
        <f>IFERROR(IF(INDEX(SKU!$J$4:$J$11,MATCH($E67,SKU!$B$4:$B$11,0))="","",INDEX(SKU!$J$4:$J$11,MATCH($E67,SKU!$B$4:$B$11,0))),"SKU?")</f>
        <v/>
      </c>
      <c r="I67" s="27">
        <f>IFERROR(INDEX(SKU!$E$4:$E$11,MATCH($E67,SKU!$B$4:$B$11,0)),"SKU?")</f>
        <v/>
      </c>
      <c r="J67" s="22" t="n"/>
      <c r="K67" s="24" t="inlineStr">
        <is>
          <t>main</t>
        </is>
      </c>
    </row>
    <row r="68">
      <c r="A68" s="24" t="inlineStr">
        <is>
          <t>Nebula</t>
        </is>
      </c>
      <c r="B68" s="24" t="inlineStr">
        <is>
          <t>nebula-witch-power</t>
        </is>
      </c>
      <c r="C68" s="24" t="inlineStr">
        <is>
          <t>funnelfox-upload-2026-10-02/nebula/nebula-witch-power.html</t>
        </is>
      </c>
      <c r="D68" s="24" t="inlineStr">
        <is>
          <t>main</t>
        </is>
      </c>
      <c r="E68" s="24" t="inlineStr">
        <is>
          <t>nebula_web_1w_to_1m</t>
        </is>
      </c>
      <c r="F68" s="25" t="inlineStr">
        <is>
          <t>Có</t>
        </is>
      </c>
      <c r="G68" s="26">
        <f>IFERROR(IF(INDEX(SKU!$I$4:$I$11,MATCH($E68,SKU!$B$4:$B$11,0))="","",INDEX(SKU!$I$4:$I$11,MATCH($E68,SKU!$B$4:$B$11,0))),"SKU?")</f>
        <v/>
      </c>
      <c r="H68" s="26">
        <f>IFERROR(IF(INDEX(SKU!$J$4:$J$11,MATCH($E68,SKU!$B$4:$B$11,0))="","",INDEX(SKU!$J$4:$J$11,MATCH($E68,SKU!$B$4:$B$11,0))),"SKU?")</f>
        <v/>
      </c>
      <c r="I68" s="27">
        <f>IFERROR(INDEX(SKU!$E$4:$E$11,MATCH($E68,SKU!$B$4:$B$11,0)),"SKU?")</f>
        <v/>
      </c>
      <c r="J68" s="22" t="n"/>
      <c r="K68" s="24" t="inlineStr">
        <is>
          <t>main</t>
        </is>
      </c>
    </row>
  </sheetData>
  <autoFilter ref="A3:K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0" customWidth="1" min="4" max="4"/>
    <col width="9" customWidth="1" min="5" max="5"/>
    <col width="60" customWidth="1" min="6" max="6"/>
  </cols>
  <sheetData>
    <row r="1">
      <c r="A1" s="28" t="inlineStr">
        <is>
          <t>Giá tham khảo đối thủ (nguồn: funnel/research/competitor-pricing-ads-2026-09.xlsx, sheet "Gói giá")</t>
        </is>
      </c>
    </row>
    <row r="3">
      <c r="A3" s="8" t="inlineStr">
        <is>
          <t>Brand</t>
        </is>
      </c>
      <c r="B3" s="8" t="inlineStr">
        <is>
          <t>Kênh</t>
        </is>
      </c>
      <c r="C3" s="8" t="inlineStr">
        <is>
          <t>Gói</t>
        </is>
      </c>
      <c r="D3" s="8" t="inlineStr">
        <is>
          <t>Giá</t>
        </is>
      </c>
      <c r="E3" s="8" t="inlineStr">
        <is>
          <t>Tiền tệ</t>
        </is>
      </c>
      <c r="F3" s="8" t="inlineStr">
        <is>
          <t>Ghi chú</t>
        </is>
      </c>
    </row>
    <row r="4">
      <c r="A4" s="29" t="inlineStr">
        <is>
          <t>Chai</t>
        </is>
      </c>
      <c r="B4" s="29" t="inlineStr">
        <is>
          <t>App Store US</t>
        </is>
      </c>
      <c r="C4" s="29" t="inlineStr">
        <is>
          <t>Premium Membership</t>
        </is>
      </c>
      <c r="D4" s="30" t="n">
        <v>9.99</v>
      </c>
      <c r="E4" s="29" t="inlineStr">
        <is>
          <t>USD</t>
        </is>
      </c>
      <c r="F4" s="29" t="inlineStr"/>
    </row>
    <row r="5">
      <c r="A5" s="29" t="inlineStr">
        <is>
          <t>Chai</t>
        </is>
      </c>
      <c r="B5" s="29" t="inlineStr">
        <is>
          <t>App Store US</t>
        </is>
      </c>
      <c r="C5" s="29" t="inlineStr">
        <is>
          <t>Premium Monthly</t>
        </is>
      </c>
      <c r="D5" s="30" t="n">
        <v>13.99</v>
      </c>
      <c r="E5" s="29" t="inlineStr">
        <is>
          <t>USD</t>
        </is>
      </c>
      <c r="F5" s="29" t="inlineStr"/>
    </row>
    <row r="6">
      <c r="A6" s="29" t="inlineStr">
        <is>
          <t>Chai</t>
        </is>
      </c>
      <c r="B6" s="29" t="inlineStr">
        <is>
          <t>App Store US</t>
        </is>
      </c>
      <c r="C6" s="29" t="inlineStr">
        <is>
          <t>Premium Annual</t>
        </is>
      </c>
      <c r="D6" s="30" t="n">
        <v>134.99</v>
      </c>
      <c r="E6" s="29" t="inlineStr">
        <is>
          <t>USD</t>
        </is>
      </c>
      <c r="F6" s="29" t="inlineStr"/>
    </row>
    <row r="7">
      <c r="A7" s="29" t="inlineStr">
        <is>
          <t>Chai</t>
        </is>
      </c>
      <c r="B7" s="29" t="inlineStr">
        <is>
          <t>App Store US</t>
        </is>
      </c>
      <c r="C7" s="29" t="inlineStr">
        <is>
          <t>Ultra Weekly</t>
        </is>
      </c>
      <c r="D7" s="30" t="n">
        <v>19.99</v>
      </c>
      <c r="E7" s="29" t="inlineStr">
        <is>
          <t>USD</t>
        </is>
      </c>
      <c r="F7" s="29" t="inlineStr"/>
    </row>
    <row r="8">
      <c r="A8" s="29" t="inlineStr">
        <is>
          <t>Chai</t>
        </is>
      </c>
      <c r="B8" s="29" t="inlineStr">
        <is>
          <t>App Store US</t>
        </is>
      </c>
      <c r="C8" s="29" t="inlineStr">
        <is>
          <t>Ultra Monthly</t>
        </is>
      </c>
      <c r="D8" s="30" t="n">
        <v>29.99</v>
      </c>
      <c r="E8" s="29" t="inlineStr">
        <is>
          <t>USD</t>
        </is>
      </c>
      <c r="F8" s="29" t="inlineStr"/>
    </row>
    <row r="9">
      <c r="A9" s="29" t="inlineStr">
        <is>
          <t>Chai</t>
        </is>
      </c>
      <c r="B9" s="29" t="inlineStr">
        <is>
          <t>App Store US</t>
        </is>
      </c>
      <c r="C9" s="29" t="inlineStr">
        <is>
          <t>Ultra Annual</t>
        </is>
      </c>
      <c r="D9" s="30" t="n">
        <v>269.99</v>
      </c>
      <c r="E9" s="29" t="inlineStr">
        <is>
          <t>USD</t>
        </is>
      </c>
      <c r="F9" s="29" t="inlineStr"/>
    </row>
    <row r="10">
      <c r="A10" s="29" t="inlineStr">
        <is>
          <t>Chai</t>
        </is>
      </c>
      <c r="B10" s="29" t="inlineStr">
        <is>
          <t>App Store US</t>
        </is>
      </c>
      <c r="C10" s="29" t="inlineStr">
        <is>
          <t>200 Pieces (lẻ)</t>
        </is>
      </c>
      <c r="D10" s="30" t="n">
        <v>2.79</v>
      </c>
      <c r="E10" s="29" t="inlineStr">
        <is>
          <t>USD</t>
        </is>
      </c>
      <c r="F10" s="29" t="inlineStr"/>
    </row>
    <row r="11">
      <c r="A11" s="29" t="inlineStr">
        <is>
          <t>Chai</t>
        </is>
      </c>
      <c r="B11" s="29" t="inlineStr">
        <is>
          <t>App Store US</t>
        </is>
      </c>
      <c r="C11" s="29" t="inlineStr">
        <is>
          <t>500 Pieces (lẻ)</t>
        </is>
      </c>
      <c r="D11" s="30" t="n">
        <v>6.99</v>
      </c>
      <c r="E11" s="29" t="inlineStr">
        <is>
          <t>USD</t>
        </is>
      </c>
      <c r="F11" s="29" t="inlineStr"/>
    </row>
    <row r="12">
      <c r="A12" s="29" t="inlineStr">
        <is>
          <t>ChatChi (base)</t>
        </is>
      </c>
      <c r="B12" s="29" t="inlineStr">
        <is>
          <t>Funnel nội bộ</t>
        </is>
      </c>
      <c r="C12" s="29" t="inlineStr">
        <is>
          <t>Weekly</t>
        </is>
      </c>
      <c r="D12" s="30" t="n">
        <v>6.99</v>
      </c>
      <c r="E12" s="29" t="inlineStr">
        <is>
          <t>USD</t>
        </is>
      </c>
      <c r="F12" s="29" t="inlineStr">
        <is>
          <t>Đang hard-code trong 3 funnel Chai</t>
        </is>
      </c>
    </row>
    <row r="13">
      <c r="A13" s="29" t="inlineStr">
        <is>
          <t>ChatChi (base)</t>
        </is>
      </c>
      <c r="B13" s="29" t="inlineStr">
        <is>
          <t>Funnel nội bộ</t>
        </is>
      </c>
      <c r="C13" s="29" t="inlineStr">
        <is>
          <t>Yearly</t>
        </is>
      </c>
      <c r="D13" s="30" t="n">
        <v>99.98999999999999</v>
      </c>
      <c r="E13" s="29" t="inlineStr">
        <is>
          <t>USD</t>
        </is>
      </c>
      <c r="F13" s="29" t="inlineStr">
        <is>
          <t>Đang hard-code trong 3 funnel Chai</t>
        </is>
      </c>
    </row>
    <row r="14">
      <c r="A14" s="29" t="inlineStr">
        <is>
          <t>Nebula</t>
        </is>
      </c>
      <c r="B14" s="29" t="inlineStr">
        <is>
          <t>App Store US</t>
        </is>
      </c>
      <c r="C14" s="29" t="inlineStr">
        <is>
          <t>Premium (các mức)</t>
        </is>
      </c>
      <c r="D14" s="30" t="n">
        <v>2.99</v>
      </c>
      <c r="E14" s="29" t="inlineStr">
        <is>
          <t>USD</t>
        </is>
      </c>
      <c r="F14" s="29" t="inlineStr">
        <is>
          <t>Các mức: 2.99 / 7.99 / 29.99 / 39.99 / 49.99</t>
        </is>
      </c>
    </row>
    <row r="15">
      <c r="A15" s="29" t="inlineStr">
        <is>
          <t>Nebula</t>
        </is>
      </c>
      <c r="B15" s="29" t="inlineStr">
        <is>
          <t>App Store US</t>
        </is>
      </c>
      <c r="C15" s="29" t="inlineStr">
        <is>
          <t>Chat Balance</t>
        </is>
      </c>
      <c r="D15" s="30" t="n">
        <v>9.99</v>
      </c>
      <c r="E15" s="29" t="inlineStr">
        <is>
          <t>USD</t>
        </is>
      </c>
      <c r="F15" s="29" t="inlineStr"/>
    </row>
    <row r="16">
      <c r="A16" s="29" t="inlineStr">
        <is>
          <t>Nebula</t>
        </is>
      </c>
      <c r="B16" s="29" t="inlineStr">
        <is>
          <t>App Store US</t>
        </is>
      </c>
      <c r="C16" s="29" t="inlineStr">
        <is>
          <t>Daily secrets (lẻ)</t>
        </is>
      </c>
      <c r="D16" s="30" t="n">
        <v>7.99</v>
      </c>
      <c r="E16" s="29" t="inlineStr">
        <is>
          <t>USD</t>
        </is>
      </c>
      <c r="F16" s="29" t="inlineStr"/>
    </row>
    <row r="17">
      <c r="A17" s="29" t="inlineStr">
        <is>
          <t>Nebula</t>
        </is>
      </c>
      <c r="B17" s="29" t="inlineStr">
        <is>
          <t>App Store US</t>
        </is>
      </c>
      <c r="C17" s="29" t="inlineStr">
        <is>
          <t>Relationship Check-In (lẻ)</t>
        </is>
      </c>
      <c r="D17" s="30" t="n">
        <v>4.99</v>
      </c>
      <c r="E17" s="29" t="inlineStr">
        <is>
          <t>USD</t>
        </is>
      </c>
      <c r="F17" s="29" t="inlineStr"/>
    </row>
    <row r="18">
      <c r="A18" s="29" t="inlineStr">
        <is>
          <t>Hint</t>
        </is>
      </c>
      <c r="B18" s="29" t="inlineStr">
        <is>
          <t>Web funnel</t>
        </is>
      </c>
      <c r="C18" s="29" t="inlineStr">
        <is>
          <t>Trial 7 ngày</t>
        </is>
      </c>
      <c r="D18" s="30" t="n">
        <v>1</v>
      </c>
      <c r="E18" s="29" t="inlineStr">
        <is>
          <t>EUR</t>
        </is>
      </c>
      <c r="F18" s="29" t="inlineStr">
        <is>
          <t>Giá gia hạn không hiện</t>
        </is>
      </c>
    </row>
    <row r="19">
      <c r="A19" s="29" t="inlineStr">
        <is>
          <t>Hint</t>
        </is>
      </c>
      <c r="B19" s="29" t="inlineStr">
        <is>
          <t>Web funnel</t>
        </is>
      </c>
      <c r="C19" s="29" t="inlineStr">
        <is>
          <t>Báo cáo phụ (upsell)</t>
        </is>
      </c>
      <c r="D19" s="30" t="n">
        <v>3</v>
      </c>
      <c r="E19" s="29" t="inlineStr">
        <is>
          <t>EUR</t>
        </is>
      </c>
      <c r="F19" s="29" t="inlineStr">
        <is>
          <t>Astrocartography, Soulmate Sketch…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2026-10-05T07:09:21Z</dcterms:created>
  <dcterms:modified xmlns:dcterms="http://purl.org/dc/terms/" xmlns:xsi="http://www.w3.org/2001/XMLSchema-instance" xsi:type="dcterms:W3CDTF">2026-10-05T07:09:21Z</dcterms:modified>
</cp:coreProperties>
</file>