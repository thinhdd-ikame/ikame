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 theo dòng" sheetId="1" state="visible" r:id="rId1"/>
    <sheet xmlns:r="http://schemas.openxmlformats.org/officeDocument/2006/relationships" name="Gói giá" sheetId="2" state="visible" r:id="rId2"/>
    <sheet xmlns:r="http://schemas.openxmlformats.org/officeDocument/2006/relationships" name="Benchmark ROAS-CPA" sheetId="3" state="visible" r:id="rId3"/>
  </sheets>
  <definedNames>
    <definedName name="_xlnm._FilterDatabase" localSheetId="1" hidden="1">'Gói giá'!$A$1:$J$93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%;-0%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0" borderId="0" pivotButton="0" quotePrefix="0" xfId="0"/>
    <xf numFmtId="4" fontId="2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Dòng (repo)</t>
        </is>
      </c>
      <c r="B1" s="1" t="inlineStr">
        <is>
          <t>Brand</t>
        </is>
      </c>
      <c r="C1" s="1" t="inlineStr">
        <is>
          <t>Category AdSpyLab</t>
        </is>
      </c>
      <c r="D1" s="1" t="inlineStr">
        <is>
          <t>T3/2026</t>
        </is>
      </c>
      <c r="E1" s="1" t="inlineStr">
        <is>
          <t>T4/2026</t>
        </is>
      </c>
      <c r="F1" s="1" t="inlineStr">
        <is>
          <t>T5/2026</t>
        </is>
      </c>
      <c r="G1" s="1" t="inlineStr">
        <is>
          <t>T6/2026</t>
        </is>
      </c>
      <c r="H1" s="1" t="inlineStr">
        <is>
          <t>T7/2026</t>
        </is>
      </c>
      <c r="I1" s="1" t="inlineStr">
        <is>
          <t>T8/2026 (có thể thiếu)</t>
        </is>
      </c>
      <c r="J1" s="1" t="inlineStr">
        <is>
          <t>Tổng 6 tháng</t>
        </is>
      </c>
      <c r="K1" s="1" t="inlineStr">
        <is>
          <t>T7 vs T6</t>
        </is>
      </c>
      <c r="L1" s="1" t="inlineStr">
        <is>
          <t>T8 vs T7</t>
        </is>
      </c>
    </row>
    <row r="2">
      <c r="A2" s="2" t="inlineStr">
        <is>
          <t>ai-photo-video</t>
        </is>
      </c>
      <c r="B2" s="2" t="inlineStr">
        <is>
          <t>Artimind</t>
        </is>
      </c>
      <c r="C2" s="2" t="inlineStr">
        <is>
          <t>Photo &amp; Video</t>
        </is>
      </c>
      <c r="D2" s="3" t="n">
        <v>0</v>
      </c>
      <c r="E2" s="3" t="n">
        <v>0</v>
      </c>
      <c r="F2" s="3" t="n">
        <v>409</v>
      </c>
      <c r="G2" s="3" t="n">
        <v>8690</v>
      </c>
      <c r="H2" s="3" t="n">
        <v>19349</v>
      </c>
      <c r="I2" s="4" t="n">
        <v>17042</v>
      </c>
      <c r="J2" s="5">
        <f>SUM(D2:I2)</f>
        <v/>
      </c>
      <c r="K2" s="6">
        <f>IF(G2=0,"-",H2/G2-1)</f>
        <v/>
      </c>
      <c r="L2" s="6">
        <f>IF(H2=0,"-",I2/H2-1)</f>
        <v/>
      </c>
    </row>
    <row r="3">
      <c r="A3" s="2" t="inlineStr">
        <is>
          <t>ai-photo-video</t>
        </is>
      </c>
      <c r="B3" s="2" t="inlineStr">
        <is>
          <t>Glam AI</t>
        </is>
      </c>
      <c r="C3" s="2" t="inlineStr">
        <is>
          <t>Photo &amp; Video</t>
        </is>
      </c>
      <c r="D3" s="3" t="n">
        <v>2764</v>
      </c>
      <c r="E3" s="3" t="n">
        <v>945</v>
      </c>
      <c r="F3" s="3" t="n">
        <v>3373</v>
      </c>
      <c r="G3" s="3" t="n">
        <v>3050</v>
      </c>
      <c r="H3" s="3" t="n">
        <v>5360</v>
      </c>
      <c r="I3" s="4" t="n">
        <v>2648</v>
      </c>
      <c r="J3" s="5">
        <f>SUM(D3:I3)</f>
        <v/>
      </c>
      <c r="K3" s="6">
        <f>IF(G3=0,"-",H3/G3-1)</f>
        <v/>
      </c>
      <c r="L3" s="6">
        <f>IF(H3=0,"-",I3/H3-1)</f>
        <v/>
      </c>
    </row>
    <row r="4">
      <c r="A4" s="2" t="inlineStr">
        <is>
          <t>ai-photo-video</t>
        </is>
      </c>
      <c r="B4" s="2" t="inlineStr">
        <is>
          <t>Skylum</t>
        </is>
      </c>
      <c r="C4" s="2" t="inlineStr">
        <is>
          <t>Photo &amp; Video</t>
        </is>
      </c>
      <c r="D4" s="3" t="n">
        <v>9</v>
      </c>
      <c r="E4" s="3" t="n">
        <v>41</v>
      </c>
      <c r="F4" s="3" t="n">
        <v>108</v>
      </c>
      <c r="G4" s="3" t="n">
        <v>1378</v>
      </c>
      <c r="H4" s="3" t="n">
        <v>608</v>
      </c>
      <c r="I4" s="4" t="n">
        <v>1330</v>
      </c>
      <c r="J4" s="5">
        <f>SUM(D4:I4)</f>
        <v/>
      </c>
      <c r="K4" s="6">
        <f>IF(G4=0,"-",H4/G4-1)</f>
        <v/>
      </c>
      <c r="L4" s="6">
        <f>IF(H4=0,"-",I4/H4-1)</f>
        <v/>
      </c>
    </row>
    <row r="5">
      <c r="A5" s="2" t="inlineStr">
        <is>
          <t>ai-photo-video</t>
        </is>
      </c>
      <c r="B5" s="2" t="inlineStr">
        <is>
          <t>FaceLab</t>
        </is>
      </c>
      <c r="C5" s="2" t="inlineStr">
        <is>
          <t>Photo &amp; Video</t>
        </is>
      </c>
      <c r="D5" s="3" t="n">
        <v>0</v>
      </c>
      <c r="E5" s="3" t="n">
        <v>0</v>
      </c>
      <c r="F5" s="3" t="n">
        <v>0</v>
      </c>
      <c r="G5" s="3" t="n">
        <v>366</v>
      </c>
      <c r="H5" s="3" t="n">
        <v>1344</v>
      </c>
      <c r="I5" s="4" t="n">
        <v>1607</v>
      </c>
      <c r="J5" s="5">
        <f>SUM(D5:I5)</f>
        <v/>
      </c>
      <c r="K5" s="6">
        <f>IF(G5=0,"-",H5/G5-1)</f>
        <v/>
      </c>
      <c r="L5" s="6">
        <f>IF(H5=0,"-",I5/H5-1)</f>
        <v/>
      </c>
    </row>
    <row r="6">
      <c r="A6" s="2" t="inlineStr">
        <is>
          <t>ai-photo-video</t>
        </is>
      </c>
      <c r="B6" s="2" t="inlineStr">
        <is>
          <t>PixTuner</t>
        </is>
      </c>
      <c r="C6" s="2" t="inlineStr">
        <is>
          <t>Photo &amp; Video</t>
        </is>
      </c>
      <c r="D6" s="3" t="n">
        <v>332</v>
      </c>
      <c r="E6" s="3" t="n">
        <v>394</v>
      </c>
      <c r="F6" s="3" t="n">
        <v>391</v>
      </c>
      <c r="G6" s="3" t="n">
        <v>142</v>
      </c>
      <c r="H6" s="3" t="n">
        <v>537</v>
      </c>
      <c r="I6" s="4" t="n">
        <v>1059</v>
      </c>
      <c r="J6" s="5">
        <f>SUM(D6:I6)</f>
        <v/>
      </c>
      <c r="K6" s="6">
        <f>IF(G6=0,"-",H6/G6-1)</f>
        <v/>
      </c>
      <c r="L6" s="6">
        <f>IF(H6=0,"-",I6/H6-1)</f>
        <v/>
      </c>
    </row>
    <row r="7">
      <c r="A7" s="2" t="inlineStr">
        <is>
          <t>ai-photo-video</t>
        </is>
      </c>
      <c r="B7" s="2" t="inlineStr">
        <is>
          <t>Hypnopixels</t>
        </is>
      </c>
      <c r="C7" s="2" t="inlineStr">
        <is>
          <t>Photo &amp; Video</t>
        </is>
      </c>
      <c r="D7" s="3" t="n">
        <v>92</v>
      </c>
      <c r="E7" s="3" t="n">
        <v>239</v>
      </c>
      <c r="F7" s="3" t="n">
        <v>467</v>
      </c>
      <c r="G7" s="3" t="n">
        <v>371</v>
      </c>
      <c r="H7" s="3" t="n">
        <v>1070</v>
      </c>
      <c r="I7" s="4" t="n">
        <v>507</v>
      </c>
      <c r="J7" s="5">
        <f>SUM(D7:I7)</f>
        <v/>
      </c>
      <c r="K7" s="6">
        <f>IF(G7=0,"-",H7/G7-1)</f>
        <v/>
      </c>
      <c r="L7" s="6">
        <f>IF(H7=0,"-",I7/H7-1)</f>
        <v/>
      </c>
    </row>
    <row r="8">
      <c r="A8" s="2" t="inlineStr">
        <is>
          <t>chat-ai-character</t>
        </is>
      </c>
      <c r="B8" s="2" t="inlineStr">
        <is>
          <t>Honey</t>
        </is>
      </c>
      <c r="C8" s="2" t="inlineStr">
        <is>
          <t>AI Companions</t>
        </is>
      </c>
      <c r="D8" s="3" t="n">
        <v>4139</v>
      </c>
      <c r="E8" s="3" t="n">
        <v>2185</v>
      </c>
      <c r="F8" s="3" t="n">
        <v>2230</v>
      </c>
      <c r="G8" s="3" t="n">
        <v>1907</v>
      </c>
      <c r="H8" s="3" t="n">
        <v>1544</v>
      </c>
      <c r="I8" s="4" t="n">
        <v>4144</v>
      </c>
      <c r="J8" s="5">
        <f>SUM(D8:I8)</f>
        <v/>
      </c>
      <c r="K8" s="6">
        <f>IF(G8=0,"-",H8/G8-1)</f>
        <v/>
      </c>
      <c r="L8" s="6">
        <f>IF(H8=0,"-",I8/H8-1)</f>
        <v/>
      </c>
    </row>
    <row r="9">
      <c r="A9" s="2" t="inlineStr">
        <is>
          <t>chat-ai-character</t>
        </is>
      </c>
      <c r="B9" s="2" t="inlineStr">
        <is>
          <t>AI Girls</t>
        </is>
      </c>
      <c r="C9" s="2" t="inlineStr">
        <is>
          <t>AI Companions</t>
        </is>
      </c>
      <c r="D9" s="3" t="n">
        <v>0</v>
      </c>
      <c r="E9" s="3" t="n">
        <v>8</v>
      </c>
      <c r="F9" s="3" t="n">
        <v>6</v>
      </c>
      <c r="G9" s="3" t="n">
        <v>31</v>
      </c>
      <c r="H9" s="3" t="n">
        <v>158</v>
      </c>
      <c r="I9" s="4" t="n">
        <v>145</v>
      </c>
      <c r="J9" s="5">
        <f>SUM(D9:I9)</f>
        <v/>
      </c>
      <c r="K9" s="6">
        <f>IF(G9=0,"-",H9/G9-1)</f>
        <v/>
      </c>
      <c r="L9" s="6">
        <f>IF(H9=0,"-",I9/H9-1)</f>
        <v/>
      </c>
    </row>
    <row r="10">
      <c r="A10" s="2" t="inlineStr">
        <is>
          <t>nebula / starlyn</t>
        </is>
      </c>
      <c r="B10" s="2" t="inlineStr">
        <is>
          <t>Nebula</t>
        </is>
      </c>
      <c r="C10" s="2" t="inlineStr">
        <is>
          <t>Astrology &amp; Spirituality</t>
        </is>
      </c>
      <c r="D10" s="3" t="n">
        <v>17758</v>
      </c>
      <c r="E10" s="3" t="n">
        <v>11534</v>
      </c>
      <c r="F10" s="3" t="n">
        <v>15249</v>
      </c>
      <c r="G10" s="3" t="n">
        <v>17364</v>
      </c>
      <c r="H10" s="3" t="n">
        <v>12722</v>
      </c>
      <c r="I10" s="4" t="n">
        <v>19</v>
      </c>
      <c r="J10" s="5">
        <f>SUM(D10:I10)</f>
        <v/>
      </c>
      <c r="K10" s="6">
        <f>IF(G10=0,"-",H10/G10-1)</f>
        <v/>
      </c>
      <c r="L10" s="6">
        <f>IF(H10=0,"-",I10/H10-1)</f>
        <v/>
      </c>
    </row>
    <row r="11">
      <c r="A11" s="2" t="inlineStr">
        <is>
          <t>nebula / starlyn</t>
        </is>
      </c>
      <c r="B11" s="2" t="inlineStr">
        <is>
          <t>Hint</t>
        </is>
      </c>
      <c r="C11" s="2" t="inlineStr">
        <is>
          <t>Astrology &amp; Spirituality</t>
        </is>
      </c>
      <c r="D11" s="3" t="n">
        <v>5682</v>
      </c>
      <c r="E11" s="3" t="n">
        <v>5392</v>
      </c>
      <c r="F11" s="3" t="n">
        <v>11146</v>
      </c>
      <c r="G11" s="3" t="n">
        <v>16175</v>
      </c>
      <c r="H11" s="3" t="n">
        <v>13576</v>
      </c>
      <c r="I11" s="4" t="n">
        <v>19840</v>
      </c>
      <c r="J11" s="5">
        <f>SUM(D11:I11)</f>
        <v/>
      </c>
      <c r="K11" s="6">
        <f>IF(G11=0,"-",H11/G11-1)</f>
        <v/>
      </c>
      <c r="L11" s="6">
        <f>IF(H11=0,"-",I11/H11-1)</f>
        <v/>
      </c>
    </row>
    <row r="12">
      <c r="A12" s="2" t="inlineStr">
        <is>
          <t>nebula / starlyn</t>
        </is>
      </c>
      <c r="B12" s="2" t="inlineStr">
        <is>
          <t>Spirio</t>
        </is>
      </c>
      <c r="C12" s="2" t="inlineStr">
        <is>
          <t>Astrology &amp; Spirituality</t>
        </is>
      </c>
      <c r="D12" s="3" t="n">
        <v>8498</v>
      </c>
      <c r="E12" s="3" t="n">
        <v>5004</v>
      </c>
      <c r="F12" s="3" t="n">
        <v>7252</v>
      </c>
      <c r="G12" s="3" t="n">
        <v>13554</v>
      </c>
      <c r="H12" s="3" t="n">
        <v>12787</v>
      </c>
      <c r="I12" s="4" t="n">
        <v>2162</v>
      </c>
      <c r="J12" s="5">
        <f>SUM(D12:I12)</f>
        <v/>
      </c>
      <c r="K12" s="6">
        <f>IF(G12=0,"-",H12/G12-1)</f>
        <v/>
      </c>
      <c r="L12" s="6">
        <f>IF(H12=0,"-",I12/H12-1)</f>
        <v/>
      </c>
    </row>
    <row r="13">
      <c r="A13" s="2" t="inlineStr">
        <is>
          <t>nebula / starlyn</t>
        </is>
      </c>
      <c r="B13" s="2" t="inlineStr">
        <is>
          <t>Astroline</t>
        </is>
      </c>
      <c r="C13" s="2" t="inlineStr">
        <is>
          <t>Astrology &amp; Spirituality</t>
        </is>
      </c>
      <c r="D13" s="3" t="n">
        <v>3608</v>
      </c>
      <c r="E13" s="3" t="n">
        <v>2624</v>
      </c>
      <c r="F13" s="3" t="n">
        <v>5529</v>
      </c>
      <c r="G13" s="3" t="n">
        <v>5464</v>
      </c>
      <c r="H13" s="3" t="n">
        <v>11358</v>
      </c>
      <c r="I13" s="4" t="n">
        <v>9357</v>
      </c>
      <c r="J13" s="5">
        <f>SUM(D13:I13)</f>
        <v/>
      </c>
      <c r="K13" s="6">
        <f>IF(G13=0,"-",H13/G13-1)</f>
        <v/>
      </c>
      <c r="L13" s="6">
        <f>IF(H13=0,"-",I13/H13-1)</f>
        <v/>
      </c>
    </row>
    <row r="14">
      <c r="A14" s="2" t="inlineStr">
        <is>
          <t>nebula / starlyn</t>
        </is>
      </c>
      <c r="B14" s="2" t="inlineStr">
        <is>
          <t>Futurio</t>
        </is>
      </c>
      <c r="C14" s="2" t="inlineStr">
        <is>
          <t>Astrology &amp; Spirituality</t>
        </is>
      </c>
      <c r="D14" s="3" t="n">
        <v>407</v>
      </c>
      <c r="E14" s="3" t="n">
        <v>251</v>
      </c>
      <c r="F14" s="3" t="n">
        <v>412</v>
      </c>
      <c r="G14" s="3" t="n">
        <v>865</v>
      </c>
      <c r="H14" s="3" t="n">
        <v>3171</v>
      </c>
      <c r="I14" s="4" t="n">
        <v>2576</v>
      </c>
      <c r="J14" s="5">
        <f>SUM(D14:I14)</f>
        <v/>
      </c>
      <c r="K14" s="6">
        <f>IF(G14=0,"-",H14/G14-1)</f>
        <v/>
      </c>
      <c r="L14" s="6">
        <f>IF(H14=0,"-",I14/H14-1)</f>
        <v/>
      </c>
    </row>
    <row r="15">
      <c r="A15" s="2" t="inlineStr">
        <is>
          <t>learning</t>
        </is>
      </c>
      <c r="B15" s="2" t="inlineStr">
        <is>
          <t>Headway</t>
        </is>
      </c>
      <c r="C15" s="2" t="inlineStr">
        <is>
          <t>Microlearning &amp; Self-Growth</t>
        </is>
      </c>
      <c r="D15" s="3" t="n">
        <v>10829</v>
      </c>
      <c r="E15" s="3" t="n">
        <v>11646</v>
      </c>
      <c r="F15" s="3" t="n">
        <v>21764</v>
      </c>
      <c r="G15" s="3" t="n">
        <v>32103</v>
      </c>
      <c r="H15" s="3" t="n">
        <v>38156</v>
      </c>
      <c r="I15" s="4" t="n">
        <v>5816</v>
      </c>
      <c r="J15" s="5">
        <f>SUM(D15:I15)</f>
        <v/>
      </c>
      <c r="K15" s="6">
        <f>IF(G15=0,"-",H15/G15-1)</f>
        <v/>
      </c>
      <c r="L15" s="6">
        <f>IF(H15=0,"-",I15/H15-1)</f>
        <v/>
      </c>
    </row>
    <row r="16">
      <c r="A16" s="2" t="inlineStr">
        <is>
          <t>learning</t>
        </is>
      </c>
      <c r="B16" s="2" t="inlineStr">
        <is>
          <t>Smartyme</t>
        </is>
      </c>
      <c r="C16" s="2" t="inlineStr">
        <is>
          <t>Microlearning &amp; Self-Growth</t>
        </is>
      </c>
      <c r="D16" s="3" t="n">
        <v>12718</v>
      </c>
      <c r="E16" s="3" t="n">
        <v>9934</v>
      </c>
      <c r="F16" s="3" t="n">
        <v>16374</v>
      </c>
      <c r="G16" s="3" t="n">
        <v>13325</v>
      </c>
      <c r="H16" s="3" t="n">
        <v>21679</v>
      </c>
      <c r="I16" s="4" t="n">
        <v>29679</v>
      </c>
      <c r="J16" s="5">
        <f>SUM(D16:I16)</f>
        <v/>
      </c>
      <c r="K16" s="6">
        <f>IF(G16=0,"-",H16/G16-1)</f>
        <v/>
      </c>
      <c r="L16" s="6">
        <f>IF(H16=0,"-",I16/H16-1)</f>
        <v/>
      </c>
    </row>
    <row r="17">
      <c r="A17" s="2" t="inlineStr">
        <is>
          <t>learning</t>
        </is>
      </c>
      <c r="B17" s="2" t="inlineStr">
        <is>
          <t>RiseGuide</t>
        </is>
      </c>
      <c r="C17" s="2" t="inlineStr">
        <is>
          <t>Microlearning &amp; Self-Growth</t>
        </is>
      </c>
      <c r="D17" s="3" t="n">
        <v>7063</v>
      </c>
      <c r="E17" s="3" t="n">
        <v>3986</v>
      </c>
      <c r="F17" s="3" t="n">
        <v>7897</v>
      </c>
      <c r="G17" s="3" t="n">
        <v>11025</v>
      </c>
      <c r="H17" s="3" t="n">
        <v>13616</v>
      </c>
      <c r="I17" s="4" t="n">
        <v>1539</v>
      </c>
      <c r="J17" s="5">
        <f>SUM(D17:I17)</f>
        <v/>
      </c>
      <c r="K17" s="6">
        <f>IF(G17=0,"-",H17/G17-1)</f>
        <v/>
      </c>
      <c r="L17" s="6">
        <f>IF(H17=0,"-",I17/H17-1)</f>
        <v/>
      </c>
    </row>
    <row r="18">
      <c r="A18" s="2" t="inlineStr">
        <is>
          <t>learning</t>
        </is>
      </c>
      <c r="B18" s="2" t="inlineStr">
        <is>
          <t>Nibble</t>
        </is>
      </c>
      <c r="C18" s="2" t="inlineStr">
        <is>
          <t>Microlearning &amp; Self-Growth</t>
        </is>
      </c>
      <c r="D18" s="3" t="n">
        <v>6024</v>
      </c>
      <c r="E18" s="3" t="n">
        <v>5312</v>
      </c>
      <c r="F18" s="3" t="n">
        <v>6804</v>
      </c>
      <c r="G18" s="3" t="n">
        <v>9268</v>
      </c>
      <c r="H18" s="3" t="n">
        <v>14179</v>
      </c>
      <c r="I18" s="4" t="n">
        <v>3355</v>
      </c>
      <c r="J18" s="5">
        <f>SUM(D18:I18)</f>
        <v/>
      </c>
      <c r="K18" s="6">
        <f>IF(G18=0,"-",H18/G18-1)</f>
        <v/>
      </c>
      <c r="L18" s="6">
        <f>IF(H18=0,"-",I18/H18-1)</f>
        <v/>
      </c>
    </row>
    <row r="19">
      <c r="A19" s="2" t="inlineStr">
        <is>
          <t>learning</t>
        </is>
      </c>
      <c r="B19" s="2" t="inlineStr">
        <is>
          <t>MyGrowth</t>
        </is>
      </c>
      <c r="C19" s="2" t="inlineStr">
        <is>
          <t>Microlearning &amp; Self-Growth</t>
        </is>
      </c>
      <c r="D19" s="3" t="n">
        <v>3513</v>
      </c>
      <c r="E19" s="3" t="n">
        <v>2536</v>
      </c>
      <c r="F19" s="3" t="n">
        <v>4336</v>
      </c>
      <c r="G19" s="3" t="n">
        <v>8372</v>
      </c>
      <c r="H19" s="3" t="n">
        <v>9081</v>
      </c>
      <c r="I19" s="4" t="n">
        <v>9291</v>
      </c>
      <c r="J19" s="5">
        <f>SUM(D19:I19)</f>
        <v/>
      </c>
      <c r="K19" s="6">
        <f>IF(G19=0,"-",H19/G19-1)</f>
        <v/>
      </c>
      <c r="L19" s="6">
        <f>IF(H19=0,"-",I19/H19-1)</f>
        <v/>
      </c>
    </row>
    <row r="20">
      <c r="A20" s="2" t="inlineStr">
        <is>
          <t>learning</t>
        </is>
      </c>
      <c r="B20" s="2" t="inlineStr">
        <is>
          <t>Coursiv</t>
        </is>
      </c>
      <c r="C20" s="2" t="inlineStr">
        <is>
          <t>AI &amp; Tech Skills</t>
        </is>
      </c>
      <c r="D20" s="3" t="n">
        <v>23176</v>
      </c>
      <c r="E20" s="3" t="n">
        <v>17997</v>
      </c>
      <c r="F20" s="3" t="n">
        <v>20414</v>
      </c>
      <c r="G20" s="3" t="n">
        <v>28534</v>
      </c>
      <c r="H20" s="3" t="n">
        <v>37076</v>
      </c>
      <c r="I20" s="4" t="n">
        <v>5147</v>
      </c>
      <c r="J20" s="5">
        <f>SUM(D20:I20)</f>
        <v/>
      </c>
      <c r="K20" s="6">
        <f>IF(G20=0,"-",H20/G20-1)</f>
        <v/>
      </c>
      <c r="L20" s="6">
        <f>IF(H20=0,"-",I20/H20-1)</f>
        <v/>
      </c>
    </row>
    <row r="21">
      <c r="A21" s="2" t="inlineStr">
        <is>
          <t>learning</t>
        </is>
      </c>
      <c r="B21" s="2" t="inlineStr">
        <is>
          <t>Tixu.ai</t>
        </is>
      </c>
      <c r="C21" s="2" t="inlineStr">
        <is>
          <t>AI &amp; Tech Skills</t>
        </is>
      </c>
      <c r="D21" s="3" t="n">
        <v>5278</v>
      </c>
      <c r="E21" s="3" t="n">
        <v>3276</v>
      </c>
      <c r="F21" s="3" t="n">
        <v>2126</v>
      </c>
      <c r="G21" s="3" t="n">
        <v>4163</v>
      </c>
      <c r="H21" s="3" t="n">
        <v>9707</v>
      </c>
      <c r="I21" s="4" t="n">
        <v>18862</v>
      </c>
      <c r="J21" s="5">
        <f>SUM(D21:I21)</f>
        <v/>
      </c>
      <c r="K21" s="6">
        <f>IF(G21=0,"-",H21/G21-1)</f>
        <v/>
      </c>
      <c r="L21" s="6">
        <f>IF(H21=0,"-",I21/H21-1)</f>
        <v/>
      </c>
    </row>
    <row r="22">
      <c r="A22" s="2" t="inlineStr">
        <is>
          <t>learning</t>
        </is>
      </c>
      <c r="B22" s="2" t="inlineStr">
        <is>
          <t>Kodree</t>
        </is>
      </c>
      <c r="C22" s="2" t="inlineStr">
        <is>
          <t>AI &amp; Tech Skills</t>
        </is>
      </c>
      <c r="D22" s="3" t="n">
        <v>2045</v>
      </c>
      <c r="E22" s="3" t="n">
        <v>1649</v>
      </c>
      <c r="F22" s="3" t="n">
        <v>2147</v>
      </c>
      <c r="G22" s="3" t="n">
        <v>5049</v>
      </c>
      <c r="H22" s="3" t="n">
        <v>5092</v>
      </c>
      <c r="I22" s="4" t="n">
        <v>3334</v>
      </c>
      <c r="J22" s="5">
        <f>SUM(D22:I22)</f>
        <v/>
      </c>
      <c r="K22" s="6">
        <f>IF(G22=0,"-",H22/G22-1)</f>
        <v/>
      </c>
      <c r="L22" s="6">
        <f>IF(H22=0,"-",I22/H22-1)</f>
        <v/>
      </c>
    </row>
    <row r="23">
      <c r="A23" s="2" t="inlineStr">
        <is>
          <t>mental-health</t>
        </is>
      </c>
      <c r="B23" s="2" t="inlineStr">
        <is>
          <t>Liven</t>
        </is>
      </c>
      <c r="C23" s="2" t="inlineStr">
        <is>
          <t>Mental Health</t>
        </is>
      </c>
      <c r="D23" s="3" t="n">
        <v>57219</v>
      </c>
      <c r="E23" s="3" t="n">
        <v>39580</v>
      </c>
      <c r="F23" s="3" t="n">
        <v>58743</v>
      </c>
      <c r="G23" s="3" t="n">
        <v>80529</v>
      </c>
      <c r="H23" s="3" t="n">
        <v>111488</v>
      </c>
      <c r="I23" s="4" t="n">
        <v>20882</v>
      </c>
      <c r="J23" s="5">
        <f>SUM(D23:I23)</f>
        <v/>
      </c>
      <c r="K23" s="6">
        <f>IF(G23=0,"-",H23/G23-1)</f>
        <v/>
      </c>
      <c r="L23" s="6">
        <f>IF(H23=0,"-",I23/H23-1)</f>
        <v/>
      </c>
    </row>
    <row r="24">
      <c r="A24" s="2" t="inlineStr">
        <is>
          <t>mental-health</t>
        </is>
      </c>
      <c r="B24" s="2" t="inlineStr">
        <is>
          <t>Hypnozio</t>
        </is>
      </c>
      <c r="C24" s="2" t="inlineStr">
        <is>
          <t>Mental Health</t>
        </is>
      </c>
      <c r="D24" s="3" t="n">
        <v>8129</v>
      </c>
      <c r="E24" s="3" t="n">
        <v>4818</v>
      </c>
      <c r="F24" s="3" t="n">
        <v>8096</v>
      </c>
      <c r="G24" s="3" t="n">
        <v>6908</v>
      </c>
      <c r="H24" s="3" t="n">
        <v>10197</v>
      </c>
      <c r="I24" s="4" t="n">
        <v>12308</v>
      </c>
      <c r="J24" s="5">
        <f>SUM(D24:I24)</f>
        <v/>
      </c>
      <c r="K24" s="6">
        <f>IF(G24=0,"-",H24/G24-1)</f>
        <v/>
      </c>
      <c r="L24" s="6">
        <f>IF(H24=0,"-",I24/H24-1)</f>
        <v/>
      </c>
    </row>
    <row r="25">
      <c r="A25" s="2" t="inlineStr">
        <is>
          <t>mental-health</t>
        </is>
      </c>
      <c r="B25" s="2" t="inlineStr">
        <is>
          <t>Leaply</t>
        </is>
      </c>
      <c r="C25" s="2" t="inlineStr">
        <is>
          <t>Mental Health</t>
        </is>
      </c>
      <c r="D25" s="3" t="n">
        <v>8191</v>
      </c>
      <c r="E25" s="3" t="n">
        <v>5090</v>
      </c>
      <c r="F25" s="3" t="n">
        <v>7834</v>
      </c>
      <c r="G25" s="3" t="n">
        <v>13422</v>
      </c>
      <c r="H25" s="3" t="n">
        <v>9960</v>
      </c>
      <c r="I25" s="4" t="n">
        <v>3524</v>
      </c>
      <c r="J25" s="5">
        <f>SUM(D25:I25)</f>
        <v/>
      </c>
      <c r="K25" s="6">
        <f>IF(G25=0,"-",H25/G25-1)</f>
        <v/>
      </c>
      <c r="L25" s="6">
        <f>IF(H25=0,"-",I25/H25-1)</f>
        <v/>
      </c>
    </row>
    <row r="26">
      <c r="A26" s="2" t="inlineStr">
        <is>
          <t>mental-health</t>
        </is>
      </c>
      <c r="B26" s="2" t="inlineStr">
        <is>
          <t>Chillio</t>
        </is>
      </c>
      <c r="C26" s="2" t="inlineStr">
        <is>
          <t>Mental Health</t>
        </is>
      </c>
      <c r="D26" s="3" t="n">
        <v>3471</v>
      </c>
      <c r="E26" s="3" t="n">
        <v>3050</v>
      </c>
      <c r="F26" s="3" t="n">
        <v>3883</v>
      </c>
      <c r="G26" s="3" t="n">
        <v>7957</v>
      </c>
      <c r="H26" s="3" t="n">
        <v>8770</v>
      </c>
      <c r="I26" s="4" t="n">
        <v>9666</v>
      </c>
      <c r="J26" s="5">
        <f>SUM(D26:I26)</f>
        <v/>
      </c>
      <c r="K26" s="6">
        <f>IF(G26=0,"-",H26/G26-1)</f>
        <v/>
      </c>
      <c r="L26" s="6">
        <f>IF(H26=0,"-",I26/H26-1)</f>
        <v/>
      </c>
    </row>
    <row r="27">
      <c r="A27" s="2" t="inlineStr">
        <is>
          <t>mental-health</t>
        </is>
      </c>
      <c r="B27" s="2" t="inlineStr">
        <is>
          <t>BetterMe</t>
        </is>
      </c>
      <c r="C27" s="2" t="inlineStr">
        <is>
          <t>Mental Health</t>
        </is>
      </c>
      <c r="D27" s="3" t="n">
        <v>2050</v>
      </c>
      <c r="E27" s="3" t="n">
        <v>2270</v>
      </c>
      <c r="F27" s="3" t="n">
        <v>1742</v>
      </c>
      <c r="G27" s="3" t="n">
        <v>4483</v>
      </c>
      <c r="H27" s="3" t="n">
        <v>6468</v>
      </c>
      <c r="I27" s="4" t="n">
        <v>10230</v>
      </c>
      <c r="J27" s="5">
        <f>SUM(D27:I27)</f>
        <v/>
      </c>
      <c r="K27" s="6">
        <f>IF(G27=0,"-",H27/G27-1)</f>
        <v/>
      </c>
      <c r="L27" s="6">
        <f>IF(H27=0,"-",I27/H27-1)</f>
        <v/>
      </c>
    </row>
    <row r="28">
      <c r="A28" s="2" t="inlineStr">
        <is>
          <t>mental-health</t>
        </is>
      </c>
      <c r="B28" s="2" t="inlineStr">
        <is>
          <t>Calm</t>
        </is>
      </c>
      <c r="C28" s="2" t="inlineStr">
        <is>
          <t>Mental Health</t>
        </is>
      </c>
      <c r="D28" s="3" t="n">
        <v>3129</v>
      </c>
      <c r="E28" s="3" t="n">
        <v>2381</v>
      </c>
      <c r="F28" s="3" t="n">
        <v>2914</v>
      </c>
      <c r="G28" s="3" t="n">
        <v>5451</v>
      </c>
      <c r="H28" s="3" t="n">
        <v>6052</v>
      </c>
      <c r="I28" s="4" t="n">
        <v>4536</v>
      </c>
      <c r="J28" s="5">
        <f>SUM(D28:I28)</f>
        <v/>
      </c>
      <c r="K28" s="6">
        <f>IF(G28=0,"-",H28/G28-1)</f>
        <v/>
      </c>
      <c r="L28" s="6">
        <f>IF(H28=0,"-",I28/H28-1)</f>
        <v/>
      </c>
    </row>
    <row r="29">
      <c r="A29" s="2" t="inlineStr">
        <is>
          <t>scanner / authenticator</t>
        </is>
      </c>
      <c r="B29" s="2" t="inlineStr">
        <is>
          <t>ClarityCheck</t>
        </is>
      </c>
      <c r="C29" s="2" t="inlineStr">
        <is>
          <t>Utilities</t>
        </is>
      </c>
      <c r="D29" s="3" t="n">
        <v>466</v>
      </c>
      <c r="E29" s="3" t="n">
        <v>1487</v>
      </c>
      <c r="F29" s="3" t="n">
        <v>2608</v>
      </c>
      <c r="G29" s="3" t="n">
        <v>11305</v>
      </c>
      <c r="H29" s="3" t="n">
        <v>15283</v>
      </c>
      <c r="I29" s="4" t="n">
        <v>1200</v>
      </c>
      <c r="J29" s="5">
        <f>SUM(D29:I29)</f>
        <v/>
      </c>
      <c r="K29" s="6">
        <f>IF(G29=0,"-",H29/G29-1)</f>
        <v/>
      </c>
      <c r="L29" s="6">
        <f>IF(H29=0,"-",I29/H29-1)</f>
        <v/>
      </c>
    </row>
    <row r="30">
      <c r="A30" s="2" t="inlineStr">
        <is>
          <t>scanner / authenticator</t>
        </is>
      </c>
      <c r="B30" s="2" t="inlineStr">
        <is>
          <t>Guardio</t>
        </is>
      </c>
      <c r="C30" s="2" t="inlineStr">
        <is>
          <t>Utilities</t>
        </is>
      </c>
      <c r="D30" s="3" t="n">
        <v>1353</v>
      </c>
      <c r="E30" s="3" t="n">
        <v>1400</v>
      </c>
      <c r="F30" s="3" t="n">
        <v>2417</v>
      </c>
      <c r="G30" s="3" t="n">
        <v>2592</v>
      </c>
      <c r="H30" s="3" t="n">
        <v>3210</v>
      </c>
      <c r="I30" s="4" t="n">
        <v>2968</v>
      </c>
      <c r="J30" s="5">
        <f>SUM(D30:I30)</f>
        <v/>
      </c>
      <c r="K30" s="6">
        <f>IF(G30=0,"-",H30/G30-1)</f>
        <v/>
      </c>
      <c r="L30" s="6">
        <f>IF(H30=0,"-",I30/H30-1)</f>
        <v/>
      </c>
    </row>
    <row r="31">
      <c r="A31" s="2" t="inlineStr">
        <is>
          <t>scanner / authenticator</t>
        </is>
      </c>
      <c r="B31" s="2" t="inlineStr">
        <is>
          <t>Cleaner Guru</t>
        </is>
      </c>
      <c r="C31" s="2" t="inlineStr">
        <is>
          <t>Utilities</t>
        </is>
      </c>
      <c r="D31" s="3" t="n">
        <v>3807</v>
      </c>
      <c r="E31" s="3" t="n">
        <v>2303</v>
      </c>
      <c r="F31" s="3" t="n">
        <v>4669</v>
      </c>
      <c r="G31" s="3" t="n">
        <v>2350</v>
      </c>
      <c r="H31" s="3" t="n">
        <v>1599</v>
      </c>
      <c r="I31" s="4" t="n">
        <v>69</v>
      </c>
      <c r="J31" s="5">
        <f>SUM(D31:I31)</f>
        <v/>
      </c>
      <c r="K31" s="6">
        <f>IF(G31=0,"-",H31/G31-1)</f>
        <v/>
      </c>
      <c r="L31" s="6">
        <f>IF(H31=0,"-",I31/H31-1)</f>
        <v/>
      </c>
    </row>
    <row r="33">
      <c r="A33" s="7" t="inlineStr">
        <is>
          <t>Nguồn: AdSpyLab Monthly Stats, Meta (source=fb), lấy ngày 30/09/2026. Số = số mẫu ads đang chạy, KHÔNG phải spend.</t>
        </is>
      </c>
    </row>
    <row r="34">
      <c r="A34" s="7" t="inlineStr">
        <is>
          <t>Cột T8 tô vàng: nhiều brand lớn cùng giảm mạnh (Nebula còn 19, Coursiv −86%, Headway −85%) → khả năng AdSpyLab chưa cập nhật đủ tháng 8. So sánh nên dùng T6–T7.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6" customWidth="1" min="4" max="4"/>
    <col width="12" customWidth="1" min="5" max="5"/>
    <col width="10" customWidth="1" min="6" max="6"/>
    <col width="8" customWidth="1" min="7" max="7"/>
    <col width="9" customWidth="1" min="8" max="8"/>
    <col width="40" customWidth="1" min="9" max="9"/>
    <col width="50" customWidth="1" min="10" max="10"/>
  </cols>
  <sheetData>
    <row r="1">
      <c r="A1" s="1" t="inlineStr">
        <is>
          <t>Dòng (repo)</t>
        </is>
      </c>
      <c r="B1" s="1" t="inlineStr">
        <is>
          <t>Brand</t>
        </is>
      </c>
      <c r="C1" s="1" t="inlineStr">
        <is>
          <t>Kênh bán</t>
        </is>
      </c>
      <c r="D1" s="1" t="inlineStr">
        <is>
          <t>Gói</t>
        </is>
      </c>
      <c r="E1" s="1" t="inlineStr">
        <is>
          <t>Giá gốc (gạch)</t>
        </is>
      </c>
      <c r="F1" s="1" t="inlineStr">
        <is>
          <t>Giá bán</t>
        </is>
      </c>
      <c r="G1" s="1" t="inlineStr">
        <is>
          <t>Tiền tệ</t>
        </is>
      </c>
      <c r="H1" s="1" t="inlineStr">
        <is>
          <t>Giảm giá</t>
        </is>
      </c>
      <c r="I1" s="1" t="inlineStr">
        <is>
          <t>Ghi chú</t>
        </is>
      </c>
      <c r="J1" s="1" t="inlineStr">
        <is>
          <t>Nguồn</t>
        </is>
      </c>
    </row>
    <row r="2">
      <c r="A2" s="2" t="inlineStr">
        <is>
          <t>ai-photo-video</t>
        </is>
      </c>
      <c r="B2" s="2" t="inlineStr">
        <is>
          <t>Artimind</t>
        </is>
      </c>
      <c r="C2" s="2" t="inlineStr">
        <is>
          <t>App Store US</t>
        </is>
      </c>
      <c r="D2" s="2" t="inlineStr">
        <is>
          <t>Weekly</t>
        </is>
      </c>
      <c r="E2" s="8" t="n"/>
      <c r="F2" s="9" t="n">
        <v>9.99</v>
      </c>
      <c r="G2" s="2" t="inlineStr">
        <is>
          <t>USD</t>
        </is>
      </c>
      <c r="H2" s="10">
        <f>IF(E2="","",1-F2/E2)</f>
        <v/>
      </c>
      <c r="I2" s="2" t="inlineStr">
        <is>
          <t>Nhiều mức weekly → đang test giá</t>
        </is>
      </c>
      <c r="J2" s="2" t="inlineStr">
        <is>
          <t>https://apps.apple.com/us/app/artimind-ai-video-generator/id6459831969</t>
        </is>
      </c>
    </row>
    <row r="3">
      <c r="A3" s="2" t="inlineStr">
        <is>
          <t>ai-photo-video</t>
        </is>
      </c>
      <c r="B3" s="2" t="inlineStr">
        <is>
          <t>Artimind</t>
        </is>
      </c>
      <c r="C3" s="2" t="inlineStr">
        <is>
          <t>App Store US</t>
        </is>
      </c>
      <c r="D3" s="2" t="inlineStr">
        <is>
          <t>Weekly</t>
        </is>
      </c>
      <c r="E3" s="8" t="n"/>
      <c r="F3" s="9" t="n">
        <v>6.99</v>
      </c>
      <c r="G3" s="2" t="inlineStr">
        <is>
          <t>USD</t>
        </is>
      </c>
      <c r="H3" s="10">
        <f>IF(E3="","",1-F3/E3)</f>
        <v/>
      </c>
      <c r="I3" s="2" t="inlineStr">
        <is>
          <t>Nhiều mức weekly → đang test giá</t>
        </is>
      </c>
      <c r="J3" s="2" t="inlineStr">
        <is>
          <t>https://apps.apple.com/us/app/artimind-ai-video-generator/id6459831969</t>
        </is>
      </c>
    </row>
    <row r="4">
      <c r="A4" s="2" t="inlineStr">
        <is>
          <t>ai-photo-video</t>
        </is>
      </c>
      <c r="B4" s="2" t="inlineStr">
        <is>
          <t>Artimind</t>
        </is>
      </c>
      <c r="C4" s="2" t="inlineStr">
        <is>
          <t>App Store US</t>
        </is>
      </c>
      <c r="D4" s="2" t="inlineStr">
        <is>
          <t>Weekly</t>
        </is>
      </c>
      <c r="E4" s="8" t="n"/>
      <c r="F4" s="9" t="n">
        <v>7.99</v>
      </c>
      <c r="G4" s="2" t="inlineStr">
        <is>
          <t>USD</t>
        </is>
      </c>
      <c r="H4" s="10">
        <f>IF(E4="","",1-F4/E4)</f>
        <v/>
      </c>
      <c r="I4" s="2" t="inlineStr">
        <is>
          <t>Nhiều mức weekly → đang test giá</t>
        </is>
      </c>
      <c r="J4" s="2" t="inlineStr">
        <is>
          <t>https://apps.apple.com/us/app/artimind-ai-video-generator/id6459831969</t>
        </is>
      </c>
    </row>
    <row r="5">
      <c r="A5" s="2" t="inlineStr">
        <is>
          <t>ai-photo-video</t>
        </is>
      </c>
      <c r="B5" s="2" t="inlineStr">
        <is>
          <t>Artimind</t>
        </is>
      </c>
      <c r="C5" s="2" t="inlineStr">
        <is>
          <t>App Store US</t>
        </is>
      </c>
      <c r="D5" s="2" t="inlineStr">
        <is>
          <t>Weekly</t>
        </is>
      </c>
      <c r="E5" s="8" t="n"/>
      <c r="F5" s="9" t="n">
        <v>5.99</v>
      </c>
      <c r="G5" s="2" t="inlineStr">
        <is>
          <t>USD</t>
        </is>
      </c>
      <c r="H5" s="10">
        <f>IF(E5="","",1-F5/E5)</f>
        <v/>
      </c>
      <c r="I5" s="2" t="inlineStr">
        <is>
          <t>Nhiều mức weekly → đang test giá</t>
        </is>
      </c>
      <c r="J5" s="2" t="inlineStr">
        <is>
          <t>https://apps.apple.com/us/app/artimind-ai-video-generator/id6459831969</t>
        </is>
      </c>
    </row>
    <row r="6">
      <c r="A6" s="2" t="inlineStr">
        <is>
          <t>ai-photo-video</t>
        </is>
      </c>
      <c r="B6" s="2" t="inlineStr">
        <is>
          <t>Artimind</t>
        </is>
      </c>
      <c r="C6" s="2" t="inlineStr">
        <is>
          <t>App Store US</t>
        </is>
      </c>
      <c r="D6" s="2" t="inlineStr">
        <is>
          <t>Weekly</t>
        </is>
      </c>
      <c r="E6" s="8" t="n"/>
      <c r="F6" s="9" t="n">
        <v>11.49</v>
      </c>
      <c r="G6" s="2" t="inlineStr">
        <is>
          <t>USD</t>
        </is>
      </c>
      <c r="H6" s="10">
        <f>IF(E6="","",1-F6/E6)</f>
        <v/>
      </c>
      <c r="I6" s="2" t="inlineStr">
        <is>
          <t>Nhiều mức weekly → đang test giá</t>
        </is>
      </c>
      <c r="J6" s="2" t="inlineStr">
        <is>
          <t>https://apps.apple.com/us/app/artimind-ai-video-generator/id6459831969</t>
        </is>
      </c>
    </row>
    <row r="7">
      <c r="A7" s="2" t="inlineStr">
        <is>
          <t>ai-photo-video</t>
        </is>
      </c>
      <c r="B7" s="2" t="inlineStr">
        <is>
          <t>Artimind</t>
        </is>
      </c>
      <c r="C7" s="2" t="inlineStr">
        <is>
          <t>App Store US</t>
        </is>
      </c>
      <c r="D7" s="2" t="inlineStr">
        <is>
          <t>Weekly</t>
        </is>
      </c>
      <c r="E7" s="8" t="n"/>
      <c r="F7" s="9" t="n">
        <v>8.99</v>
      </c>
      <c r="G7" s="2" t="inlineStr">
        <is>
          <t>USD</t>
        </is>
      </c>
      <c r="H7" s="10">
        <f>IF(E7="","",1-F7/E7)</f>
        <v/>
      </c>
      <c r="I7" s="2" t="inlineStr">
        <is>
          <t>Nhiều mức weekly → đang test giá</t>
        </is>
      </c>
      <c r="J7" s="2" t="inlineStr">
        <is>
          <t>https://apps.apple.com/us/app/artimind-ai-video-generator/id6459831969</t>
        </is>
      </c>
    </row>
    <row r="8">
      <c r="A8" s="2" t="inlineStr">
        <is>
          <t>ai-photo-video</t>
        </is>
      </c>
      <c r="B8" s="2" t="inlineStr">
        <is>
          <t>Artimind</t>
        </is>
      </c>
      <c r="C8" s="2" t="inlineStr">
        <is>
          <t>App Store US</t>
        </is>
      </c>
      <c r="D8" s="2" t="inlineStr">
        <is>
          <t>Weekly (intro?)</t>
        </is>
      </c>
      <c r="E8" s="8" t="n"/>
      <c r="F8" s="9" t="n">
        <v>0.39</v>
      </c>
      <c r="G8" s="2" t="inlineStr">
        <is>
          <t>USD</t>
        </is>
      </c>
      <c r="H8" s="10">
        <f>IF(E8="","",1-F8/E8)</f>
        <v/>
      </c>
      <c r="I8" s="2" t="inlineStr">
        <is>
          <t>Có thể là giá tuần đầu</t>
        </is>
      </c>
      <c r="J8" s="2" t="inlineStr">
        <is>
          <t>https://apps.apple.com/us/app/artimind-ai-video-generator/id6459831969</t>
        </is>
      </c>
    </row>
    <row r="9">
      <c r="A9" s="2" t="inlineStr">
        <is>
          <t>ai-photo-video</t>
        </is>
      </c>
      <c r="B9" s="2" t="inlineStr">
        <is>
          <t>Artimind</t>
        </is>
      </c>
      <c r="C9" s="2" t="inlineStr">
        <is>
          <t>App Store US</t>
        </is>
      </c>
      <c r="D9" s="2" t="inlineStr">
        <is>
          <t>Monthly</t>
        </is>
      </c>
      <c r="E9" s="8" t="n"/>
      <c r="F9" s="9" t="n">
        <v>14.99</v>
      </c>
      <c r="G9" s="2" t="inlineStr">
        <is>
          <t>USD</t>
        </is>
      </c>
      <c r="H9" s="10">
        <f>IF(E9="","",1-F9/E9)</f>
        <v/>
      </c>
      <c r="I9" s="2" t="inlineStr"/>
      <c r="J9" s="2" t="inlineStr">
        <is>
          <t>https://apps.apple.com/us/app/artimind-ai-video-generator/id6459831969</t>
        </is>
      </c>
    </row>
    <row r="10">
      <c r="A10" s="2" t="inlineStr">
        <is>
          <t>ai-photo-video</t>
        </is>
      </c>
      <c r="B10" s="2" t="inlineStr">
        <is>
          <t>Artimind</t>
        </is>
      </c>
      <c r="C10" s="2" t="inlineStr">
        <is>
          <t>App Store US</t>
        </is>
      </c>
      <c r="D10" s="2" t="inlineStr">
        <is>
          <t>Yearly</t>
        </is>
      </c>
      <c r="E10" s="8" t="n"/>
      <c r="F10" s="9" t="n">
        <v>39.99</v>
      </c>
      <c r="G10" s="2" t="inlineStr">
        <is>
          <t>USD</t>
        </is>
      </c>
      <c r="H10" s="10">
        <f>IF(E10="","",1-F10/E10)</f>
        <v/>
      </c>
      <c r="I10" s="2" t="inlineStr">
        <is>
          <t>Funnel web (photo.genius.style, app.artimind.net) chỉ có upload ảnh, không có bảng giá</t>
        </is>
      </c>
      <c r="J10" s="2" t="inlineStr">
        <is>
          <t>https://apps.apple.com/us/app/artimind-ai-video-generator/id6459831969</t>
        </is>
      </c>
    </row>
    <row r="11">
      <c r="A11" s="2" t="inlineStr">
        <is>
          <t>ai-photo-video</t>
        </is>
      </c>
      <c r="B11" s="2" t="inlineStr">
        <is>
          <t>Glam AI</t>
        </is>
      </c>
      <c r="C11" s="2" t="inlineStr">
        <is>
          <t>App Store US</t>
        </is>
      </c>
      <c r="D11" s="2" t="inlineStr">
        <is>
          <t>Glam Pro</t>
        </is>
      </c>
      <c r="E11" s="8" t="n"/>
      <c r="F11" s="9" t="n">
        <v>7.99</v>
      </c>
      <c r="G11" s="2" t="inlineStr">
        <is>
          <t>USD</t>
        </is>
      </c>
      <c r="H11" s="10">
        <f>IF(E11="","",1-F11/E11)</f>
        <v/>
      </c>
      <c r="I11" s="2" t="inlineStr">
        <is>
          <t>App Store không ghi chu kỳ; $49.99–59.99 nhiều khả năng là gói năm</t>
        </is>
      </c>
      <c r="J11" s="2" t="inlineStr">
        <is>
          <t>https://apps.apple.com/us/app/glam-ai-video-photo-editor/id1545593132</t>
        </is>
      </c>
    </row>
    <row r="12">
      <c r="A12" s="2" t="inlineStr">
        <is>
          <t>ai-photo-video</t>
        </is>
      </c>
      <c r="B12" s="2" t="inlineStr">
        <is>
          <t>Glam AI</t>
        </is>
      </c>
      <c r="C12" s="2" t="inlineStr">
        <is>
          <t>App Store US</t>
        </is>
      </c>
      <c r="D12" s="2" t="inlineStr">
        <is>
          <t>Glam Pro</t>
        </is>
      </c>
      <c r="E12" s="8" t="n"/>
      <c r="F12" s="9" t="n">
        <v>8.99</v>
      </c>
      <c r="G12" s="2" t="inlineStr">
        <is>
          <t>USD</t>
        </is>
      </c>
      <c r="H12" s="10">
        <f>IF(E12="","",1-F12/E12)</f>
        <v/>
      </c>
      <c r="I12" s="2" t="inlineStr">
        <is>
          <t>App Store không ghi chu kỳ; $49.99–59.99 nhiều khả năng là gói năm</t>
        </is>
      </c>
      <c r="J12" s="2" t="inlineStr">
        <is>
          <t>https://apps.apple.com/us/app/glam-ai-video-photo-editor/id1545593132</t>
        </is>
      </c>
    </row>
    <row r="13">
      <c r="A13" s="2" t="inlineStr">
        <is>
          <t>ai-photo-video</t>
        </is>
      </c>
      <c r="B13" s="2" t="inlineStr">
        <is>
          <t>Glam AI</t>
        </is>
      </c>
      <c r="C13" s="2" t="inlineStr">
        <is>
          <t>App Store US</t>
        </is>
      </c>
      <c r="D13" s="2" t="inlineStr">
        <is>
          <t>Glam Pro</t>
        </is>
      </c>
      <c r="E13" s="8" t="n"/>
      <c r="F13" s="9" t="n">
        <v>9.99</v>
      </c>
      <c r="G13" s="2" t="inlineStr">
        <is>
          <t>USD</t>
        </is>
      </c>
      <c r="H13" s="10">
        <f>IF(E13="","",1-F13/E13)</f>
        <v/>
      </c>
      <c r="I13" s="2" t="inlineStr">
        <is>
          <t>App Store không ghi chu kỳ; $49.99–59.99 nhiều khả năng là gói năm</t>
        </is>
      </c>
      <c r="J13" s="2" t="inlineStr">
        <is>
          <t>https://apps.apple.com/us/app/glam-ai-video-photo-editor/id1545593132</t>
        </is>
      </c>
    </row>
    <row r="14">
      <c r="A14" s="2" t="inlineStr">
        <is>
          <t>ai-photo-video</t>
        </is>
      </c>
      <c r="B14" s="2" t="inlineStr">
        <is>
          <t>Glam AI</t>
        </is>
      </c>
      <c r="C14" s="2" t="inlineStr">
        <is>
          <t>App Store US</t>
        </is>
      </c>
      <c r="D14" s="2" t="inlineStr">
        <is>
          <t>Glam Lite</t>
        </is>
      </c>
      <c r="E14" s="8" t="n"/>
      <c r="F14" s="9" t="n">
        <v>8.99</v>
      </c>
      <c r="G14" s="2" t="inlineStr">
        <is>
          <t>USD</t>
        </is>
      </c>
      <c r="H14" s="10">
        <f>IF(E14="","",1-F14/E14)</f>
        <v/>
      </c>
      <c r="I14" s="2" t="inlineStr">
        <is>
          <t>App Store không ghi chu kỳ; $49.99–59.99 nhiều khả năng là gói năm</t>
        </is>
      </c>
      <c r="J14" s="2" t="inlineStr">
        <is>
          <t>https://apps.apple.com/us/app/glam-ai-video-photo-editor/id1545593132</t>
        </is>
      </c>
    </row>
    <row r="15">
      <c r="A15" s="2" t="inlineStr">
        <is>
          <t>ai-photo-video</t>
        </is>
      </c>
      <c r="B15" s="2" t="inlineStr">
        <is>
          <t>Glam AI</t>
        </is>
      </c>
      <c r="C15" s="2" t="inlineStr">
        <is>
          <t>App Store US</t>
        </is>
      </c>
      <c r="D15" s="2" t="inlineStr">
        <is>
          <t>Glam Pro</t>
        </is>
      </c>
      <c r="E15" s="8" t="n"/>
      <c r="F15" s="9" t="n">
        <v>32.49</v>
      </c>
      <c r="G15" s="2" t="inlineStr">
        <is>
          <t>USD</t>
        </is>
      </c>
      <c r="H15" s="10">
        <f>IF(E15="","",1-F15/E15)</f>
        <v/>
      </c>
      <c r="I15" s="2" t="inlineStr">
        <is>
          <t>App Store không ghi chu kỳ; $49.99–59.99 nhiều khả năng là gói năm</t>
        </is>
      </c>
      <c r="J15" s="2" t="inlineStr">
        <is>
          <t>https://apps.apple.com/us/app/glam-ai-video-photo-editor/id1545593132</t>
        </is>
      </c>
    </row>
    <row r="16">
      <c r="A16" s="2" t="inlineStr">
        <is>
          <t>ai-photo-video</t>
        </is>
      </c>
      <c r="B16" s="2" t="inlineStr">
        <is>
          <t>Glam AI</t>
        </is>
      </c>
      <c r="C16" s="2" t="inlineStr">
        <is>
          <t>App Store US</t>
        </is>
      </c>
      <c r="D16" s="2" t="inlineStr">
        <is>
          <t>Glam Pro</t>
        </is>
      </c>
      <c r="E16" s="8" t="n"/>
      <c r="F16" s="9" t="n">
        <v>49.99</v>
      </c>
      <c r="G16" s="2" t="inlineStr">
        <is>
          <t>USD</t>
        </is>
      </c>
      <c r="H16" s="10">
        <f>IF(E16="","",1-F16/E16)</f>
        <v/>
      </c>
      <c r="I16" s="2" t="inlineStr">
        <is>
          <t>App Store không ghi chu kỳ; $49.99–59.99 nhiều khả năng là gói năm</t>
        </is>
      </c>
      <c r="J16" s="2" t="inlineStr">
        <is>
          <t>https://apps.apple.com/us/app/glam-ai-video-photo-editor/id1545593132</t>
        </is>
      </c>
    </row>
    <row r="17">
      <c r="A17" s="2" t="inlineStr">
        <is>
          <t>ai-photo-video</t>
        </is>
      </c>
      <c r="B17" s="2" t="inlineStr">
        <is>
          <t>Glam AI</t>
        </is>
      </c>
      <c r="C17" s="2" t="inlineStr">
        <is>
          <t>App Store US</t>
        </is>
      </c>
      <c r="D17" s="2" t="inlineStr">
        <is>
          <t>Glam Pro</t>
        </is>
      </c>
      <c r="E17" s="8" t="n"/>
      <c r="F17" s="9" t="n">
        <v>59.99</v>
      </c>
      <c r="G17" s="2" t="inlineStr">
        <is>
          <t>USD</t>
        </is>
      </c>
      <c r="H17" s="10">
        <f>IF(E17="","",1-F17/E17)</f>
        <v/>
      </c>
      <c r="I17" s="2" t="inlineStr">
        <is>
          <t>App Store không ghi chu kỳ; $49.99–59.99 nhiều khả năng là gói năm</t>
        </is>
      </c>
      <c r="J17" s="2" t="inlineStr">
        <is>
          <t>https://apps.apple.com/us/app/glam-ai-video-photo-editor/id1545593132</t>
        </is>
      </c>
    </row>
    <row r="18">
      <c r="A18" s="2" t="inlineStr">
        <is>
          <t>ai-photo-video</t>
        </is>
      </c>
      <c r="B18" s="2" t="inlineStr">
        <is>
          <t>Glam AI</t>
        </is>
      </c>
      <c r="C18" s="2" t="inlineStr">
        <is>
          <t>App Store US</t>
        </is>
      </c>
      <c r="D18" s="2" t="inlineStr">
        <is>
          <t>Glam Artist</t>
        </is>
      </c>
      <c r="E18" s="8" t="n"/>
      <c r="F18" s="9" t="n">
        <v>59.99</v>
      </c>
      <c r="G18" s="2" t="inlineStr">
        <is>
          <t>USD</t>
        </is>
      </c>
      <c r="H18" s="10">
        <f>IF(E18="","",1-F18/E18)</f>
        <v/>
      </c>
      <c r="I18" s="2" t="inlineStr">
        <is>
          <t>App Store không ghi chu kỳ; $49.99–59.99 nhiều khả năng là gói năm</t>
        </is>
      </c>
      <c r="J18" s="2" t="inlineStr">
        <is>
          <t>https://apps.apple.com/us/app/glam-ai-video-photo-editor/id1545593132</t>
        </is>
      </c>
    </row>
    <row r="19">
      <c r="A19" s="2" t="inlineStr">
        <is>
          <t>ai-photo-video</t>
        </is>
      </c>
      <c r="B19" s="2" t="inlineStr">
        <is>
          <t>Glam AI</t>
        </is>
      </c>
      <c r="C19" s="2" t="inlineStr">
        <is>
          <t>App Store US</t>
        </is>
      </c>
      <c r="D19" s="2" t="inlineStr">
        <is>
          <t>+5 Magic (lẻ)</t>
        </is>
      </c>
      <c r="E19" s="8" t="n"/>
      <c r="F19" s="9" t="n">
        <v>5.99</v>
      </c>
      <c r="G19" s="2" t="inlineStr">
        <is>
          <t>USD</t>
        </is>
      </c>
      <c r="H19" s="10">
        <f>IF(E19="","",1-F19/E19)</f>
        <v/>
      </c>
      <c r="I19" s="2" t="inlineStr">
        <is>
          <t>App Store không ghi chu kỳ; $49.99–59.99 nhiều khả năng là gói năm</t>
        </is>
      </c>
      <c r="J19" s="2" t="inlineStr">
        <is>
          <t>https://apps.apple.com/us/app/glam-ai-video-photo-editor/id1545593132</t>
        </is>
      </c>
    </row>
    <row r="20">
      <c r="A20" s="2" t="inlineStr">
        <is>
          <t>ai-photo-video</t>
        </is>
      </c>
      <c r="B20" s="2" t="inlineStr">
        <is>
          <t>Glam AI</t>
        </is>
      </c>
      <c r="C20" s="2" t="inlineStr">
        <is>
          <t>App Store US</t>
        </is>
      </c>
      <c r="D20" s="2" t="inlineStr">
        <is>
          <t>+10 Magic (lẻ)</t>
        </is>
      </c>
      <c r="E20" s="8" t="n"/>
      <c r="F20" s="9" t="n">
        <v>7.99</v>
      </c>
      <c r="G20" s="2" t="inlineStr">
        <is>
          <t>USD</t>
        </is>
      </c>
      <c r="H20" s="10">
        <f>IF(E20="","",1-F20/E20)</f>
        <v/>
      </c>
      <c r="I20" s="2" t="inlineStr">
        <is>
          <t>App Store không ghi chu kỳ; $49.99–59.99 nhiều khả năng là gói năm</t>
        </is>
      </c>
      <c r="J20" s="2" t="inlineStr">
        <is>
          <t>https://apps.apple.com/us/app/glam-ai-video-photo-editor/id1545593132</t>
        </is>
      </c>
    </row>
    <row r="21">
      <c r="A21" s="2" t="inlineStr">
        <is>
          <t>ai-photo-video</t>
        </is>
      </c>
      <c r="B21" s="2" t="inlineStr">
        <is>
          <t>FaceLab (Lyrebird)</t>
        </is>
      </c>
      <c r="C21" s="2" t="inlineStr">
        <is>
          <t>App Store US</t>
        </is>
      </c>
      <c r="D21" s="2" t="inlineStr">
        <is>
          <t>Weekly</t>
        </is>
      </c>
      <c r="E21" s="8" t="n"/>
      <c r="F21" s="9" t="n">
        <v>6.99</v>
      </c>
      <c r="G21" s="2" t="inlineStr">
        <is>
          <t>USD</t>
        </is>
      </c>
      <c r="H21" s="10">
        <f>IF(E21="","",1-F21/E21)</f>
        <v/>
      </c>
      <c r="I21" s="2" t="inlineStr">
        <is>
          <t>Chưa chắc brand FaceLab trong AdSpyLab là app Lyrebird hay IronTech</t>
        </is>
      </c>
      <c r="J21" s="2" t="inlineStr">
        <is>
          <t>https://apps.apple.com/us/app/facelab-face-age-hair-filter/id1530776865</t>
        </is>
      </c>
    </row>
    <row r="22">
      <c r="A22" s="2" t="inlineStr">
        <is>
          <t>ai-photo-video</t>
        </is>
      </c>
      <c r="B22" s="2" t="inlineStr">
        <is>
          <t>FaceLab (Lyrebird)</t>
        </is>
      </c>
      <c r="C22" s="2" t="inlineStr">
        <is>
          <t>App Store US</t>
        </is>
      </c>
      <c r="D22" s="2" t="inlineStr">
        <is>
          <t>Weekly</t>
        </is>
      </c>
      <c r="E22" s="8" t="n"/>
      <c r="F22" s="9" t="n">
        <v>9.99</v>
      </c>
      <c r="G22" s="2" t="inlineStr">
        <is>
          <t>USD</t>
        </is>
      </c>
      <c r="H22" s="10">
        <f>IF(E22="","",1-F22/E22)</f>
        <v/>
      </c>
      <c r="I22" s="2" t="inlineStr">
        <is>
          <t>Chưa chắc brand FaceLab trong AdSpyLab là app Lyrebird hay IronTech</t>
        </is>
      </c>
      <c r="J22" s="2" t="inlineStr">
        <is>
          <t>https://apps.apple.com/us/app/facelab-face-age-hair-filter/id1530776865</t>
        </is>
      </c>
    </row>
    <row r="23">
      <c r="A23" s="2" t="inlineStr">
        <is>
          <t>ai-photo-video</t>
        </is>
      </c>
      <c r="B23" s="2" t="inlineStr">
        <is>
          <t>FaceLab (Lyrebird)</t>
        </is>
      </c>
      <c r="C23" s="2" t="inlineStr">
        <is>
          <t>App Store US</t>
        </is>
      </c>
      <c r="D23" s="2" t="inlineStr">
        <is>
          <t>Weekly</t>
        </is>
      </c>
      <c r="E23" s="8" t="n"/>
      <c r="F23" s="9" t="n">
        <v>12.99</v>
      </c>
      <c r="G23" s="2" t="inlineStr">
        <is>
          <t>USD</t>
        </is>
      </c>
      <c r="H23" s="10">
        <f>IF(E23="","",1-F23/E23)</f>
        <v/>
      </c>
      <c r="I23" s="2" t="inlineStr">
        <is>
          <t>Chưa chắc brand FaceLab trong AdSpyLab là app Lyrebird hay IronTech</t>
        </is>
      </c>
      <c r="J23" s="2" t="inlineStr">
        <is>
          <t>https://apps.apple.com/us/app/facelab-face-age-hair-filter/id1530776865</t>
        </is>
      </c>
    </row>
    <row r="24">
      <c r="A24" s="2" t="inlineStr">
        <is>
          <t>ai-photo-video</t>
        </is>
      </c>
      <c r="B24" s="2" t="inlineStr">
        <is>
          <t>FaceLab (Lyrebird)</t>
        </is>
      </c>
      <c r="C24" s="2" t="inlineStr">
        <is>
          <t>App Store US</t>
        </is>
      </c>
      <c r="D24" s="2" t="inlineStr">
        <is>
          <t>Weekly</t>
        </is>
      </c>
      <c r="E24" s="8" t="n"/>
      <c r="F24" s="9" t="n">
        <v>14.99</v>
      </c>
      <c r="G24" s="2" t="inlineStr">
        <is>
          <t>USD</t>
        </is>
      </c>
      <c r="H24" s="10">
        <f>IF(E24="","",1-F24/E24)</f>
        <v/>
      </c>
      <c r="I24" s="2" t="inlineStr">
        <is>
          <t>Chưa chắc brand FaceLab trong AdSpyLab là app Lyrebird hay IronTech</t>
        </is>
      </c>
      <c r="J24" s="2" t="inlineStr">
        <is>
          <t>https://apps.apple.com/us/app/facelab-face-age-hair-filter/id1530776865</t>
        </is>
      </c>
    </row>
    <row r="25">
      <c r="A25" s="2" t="inlineStr">
        <is>
          <t>ai-photo-video</t>
        </is>
      </c>
      <c r="B25" s="2" t="inlineStr">
        <is>
          <t>FaceLab (Lyrebird)</t>
        </is>
      </c>
      <c r="C25" s="2" t="inlineStr">
        <is>
          <t>App Store US</t>
        </is>
      </c>
      <c r="D25" s="2" t="inlineStr">
        <is>
          <t>Weekly</t>
        </is>
      </c>
      <c r="E25" s="8" t="n"/>
      <c r="F25" s="9" t="n">
        <v>15.99</v>
      </c>
      <c r="G25" s="2" t="inlineStr">
        <is>
          <t>USD</t>
        </is>
      </c>
      <c r="H25" s="10">
        <f>IF(E25="","",1-F25/E25)</f>
        <v/>
      </c>
      <c r="I25" s="2" t="inlineStr">
        <is>
          <t>Chưa chắc brand FaceLab trong AdSpyLab là app Lyrebird hay IronTech</t>
        </is>
      </c>
      <c r="J25" s="2" t="inlineStr">
        <is>
          <t>https://apps.apple.com/us/app/facelab-face-age-hair-filter/id1530776865</t>
        </is>
      </c>
    </row>
    <row r="26">
      <c r="A26" s="2" t="inlineStr">
        <is>
          <t>ai-photo-video</t>
        </is>
      </c>
      <c r="B26" s="2" t="inlineStr">
        <is>
          <t>FaceLab (Lyrebird)</t>
        </is>
      </c>
      <c r="C26" s="2" t="inlineStr">
        <is>
          <t>App Store US</t>
        </is>
      </c>
      <c r="D26" s="2" t="inlineStr">
        <is>
          <t>Weekly</t>
        </is>
      </c>
      <c r="E26" s="8" t="n"/>
      <c r="F26" s="9" t="n">
        <v>17.49</v>
      </c>
      <c r="G26" s="2" t="inlineStr">
        <is>
          <t>USD</t>
        </is>
      </c>
      <c r="H26" s="10">
        <f>IF(E26="","",1-F26/E26)</f>
        <v/>
      </c>
      <c r="I26" s="2" t="inlineStr">
        <is>
          <t>Chưa chắc brand FaceLab trong AdSpyLab là app Lyrebird hay IronTech</t>
        </is>
      </c>
      <c r="J26" s="2" t="inlineStr">
        <is>
          <t>https://apps.apple.com/us/app/facelab-face-age-hair-filter/id1530776865</t>
        </is>
      </c>
    </row>
    <row r="27">
      <c r="A27" s="2" t="inlineStr">
        <is>
          <t>ai-photo-video</t>
        </is>
      </c>
      <c r="B27" s="2" t="inlineStr">
        <is>
          <t>FaceLab (Lyrebird)</t>
        </is>
      </c>
      <c r="C27" s="2" t="inlineStr">
        <is>
          <t>App Store US</t>
        </is>
      </c>
      <c r="D27" s="2" t="inlineStr">
        <is>
          <t>Weekly</t>
        </is>
      </c>
      <c r="E27" s="8" t="n"/>
      <c r="F27" s="9" t="n">
        <v>19.99</v>
      </c>
      <c r="G27" s="2" t="inlineStr">
        <is>
          <t>USD</t>
        </is>
      </c>
      <c r="H27" s="10">
        <f>IF(E27="","",1-F27/E27)</f>
        <v/>
      </c>
      <c r="I27" s="2" t="inlineStr">
        <is>
          <t>Chưa chắc brand FaceLab trong AdSpyLab là app Lyrebird hay IronTech</t>
        </is>
      </c>
      <c r="J27" s="2" t="inlineStr">
        <is>
          <t>https://apps.apple.com/us/app/facelab-face-age-hair-filter/id1530776865</t>
        </is>
      </c>
    </row>
    <row r="28">
      <c r="A28" s="2" t="inlineStr">
        <is>
          <t>ai-photo-video</t>
        </is>
      </c>
      <c r="B28" s="2" t="inlineStr">
        <is>
          <t>FaceLab (Lyrebird)</t>
        </is>
      </c>
      <c r="C28" s="2" t="inlineStr">
        <is>
          <t>App Store US</t>
        </is>
      </c>
      <c r="D28" s="2" t="inlineStr">
        <is>
          <t>Premium</t>
        </is>
      </c>
      <c r="E28" s="8" t="n"/>
      <c r="F28" s="9" t="n">
        <v>13.99</v>
      </c>
      <c r="G28" s="2" t="inlineStr">
        <is>
          <t>USD</t>
        </is>
      </c>
      <c r="H28" s="10">
        <f>IF(E28="","",1-F28/E28)</f>
        <v/>
      </c>
      <c r="I28" s="2" t="inlineStr"/>
      <c r="J28" s="2" t="inlineStr">
        <is>
          <t>https://apps.apple.com/us/app/facelab-face-age-hair-filter/id1530776865</t>
        </is>
      </c>
    </row>
    <row r="29">
      <c r="A29" s="2" t="inlineStr">
        <is>
          <t>ai-photo-video</t>
        </is>
      </c>
      <c r="B29" s="2" t="inlineStr">
        <is>
          <t>Momo</t>
        </is>
      </c>
      <c r="C29" s="2" t="inlineStr">
        <is>
          <t>App Store US</t>
        </is>
      </c>
      <c r="D29" s="2" t="inlineStr">
        <is>
          <t>Weekly</t>
        </is>
      </c>
      <c r="E29" s="8" t="n"/>
      <c r="F29" s="9" t="n">
        <v>6.99</v>
      </c>
      <c r="G29" s="2" t="inlineStr">
        <is>
          <t>USD</t>
        </is>
      </c>
      <c r="H29" s="10">
        <f>IF(E29="","",1-F29/E29)</f>
        <v/>
      </c>
      <c r="I29" s="2" t="inlineStr"/>
      <c r="J29" s="2" t="inlineStr">
        <is>
          <t>https://apps.apple.com/us/app/momo-ai-photo-video-maker/id1658822260</t>
        </is>
      </c>
    </row>
    <row r="30">
      <c r="A30" s="2" t="inlineStr">
        <is>
          <t>ai-photo-video</t>
        </is>
      </c>
      <c r="B30" s="2" t="inlineStr">
        <is>
          <t>Momo</t>
        </is>
      </c>
      <c r="C30" s="2" t="inlineStr">
        <is>
          <t>App Store US</t>
        </is>
      </c>
      <c r="D30" s="2" t="inlineStr">
        <is>
          <t>Weekly</t>
        </is>
      </c>
      <c r="E30" s="8" t="n"/>
      <c r="F30" s="9" t="n">
        <v>9.99</v>
      </c>
      <c r="G30" s="2" t="inlineStr">
        <is>
          <t>USD</t>
        </is>
      </c>
      <c r="H30" s="10">
        <f>IF(E30="","",1-F30/E30)</f>
        <v/>
      </c>
      <c r="I30" s="2" t="inlineStr"/>
      <c r="J30" s="2" t="inlineStr">
        <is>
          <t>https://apps.apple.com/us/app/momo-ai-photo-video-maker/id1658822260</t>
        </is>
      </c>
    </row>
    <row r="31">
      <c r="A31" s="2" t="inlineStr">
        <is>
          <t>ai-photo-video</t>
        </is>
      </c>
      <c r="B31" s="2" t="inlineStr">
        <is>
          <t>Momo</t>
        </is>
      </c>
      <c r="C31" s="2" t="inlineStr">
        <is>
          <t>App Store US</t>
        </is>
      </c>
      <c r="D31" s="2" t="inlineStr">
        <is>
          <t>Weekly</t>
        </is>
      </c>
      <c r="E31" s="8" t="n"/>
      <c r="F31" s="9" t="n">
        <v>11.99</v>
      </c>
      <c r="G31" s="2" t="inlineStr">
        <is>
          <t>USD</t>
        </is>
      </c>
      <c r="H31" s="10">
        <f>IF(E31="","",1-F31/E31)</f>
        <v/>
      </c>
      <c r="I31" s="2" t="inlineStr"/>
      <c r="J31" s="2" t="inlineStr">
        <is>
          <t>https://apps.apple.com/us/app/momo-ai-photo-video-maker/id1658822260</t>
        </is>
      </c>
    </row>
    <row r="32">
      <c r="A32" s="2" t="inlineStr">
        <is>
          <t>ai-photo-video</t>
        </is>
      </c>
      <c r="B32" s="2" t="inlineStr">
        <is>
          <t>Momo</t>
        </is>
      </c>
      <c r="C32" s="2" t="inlineStr">
        <is>
          <t>App Store US</t>
        </is>
      </c>
      <c r="D32" s="2" t="inlineStr">
        <is>
          <t>Weekly</t>
        </is>
      </c>
      <c r="E32" s="8" t="n"/>
      <c r="F32" s="9" t="n">
        <v>14.99</v>
      </c>
      <c r="G32" s="2" t="inlineStr">
        <is>
          <t>USD</t>
        </is>
      </c>
      <c r="H32" s="10">
        <f>IF(E32="","",1-F32/E32)</f>
        <v/>
      </c>
      <c r="I32" s="2" t="inlineStr"/>
      <c r="J32" s="2" t="inlineStr">
        <is>
          <t>https://apps.apple.com/us/app/momo-ai-photo-video-maker/id1658822260</t>
        </is>
      </c>
    </row>
    <row r="33">
      <c r="A33" s="2" t="inlineStr">
        <is>
          <t>ai-photo-video</t>
        </is>
      </c>
      <c r="B33" s="2" t="inlineStr">
        <is>
          <t>Momo</t>
        </is>
      </c>
      <c r="C33" s="2" t="inlineStr">
        <is>
          <t>App Store US</t>
        </is>
      </c>
      <c r="D33" s="2" t="inlineStr">
        <is>
          <t>Yearly</t>
        </is>
      </c>
      <c r="E33" s="8" t="n"/>
      <c r="F33" s="9" t="n">
        <v>39.99</v>
      </c>
      <c r="G33" s="2" t="inlineStr">
        <is>
          <t>USD</t>
        </is>
      </c>
      <c r="H33" s="10">
        <f>IF(E33="","",1-F33/E33)</f>
        <v/>
      </c>
      <c r="I33" s="2" t="inlineStr"/>
      <c r="J33" s="2" t="inlineStr">
        <is>
          <t>https://apps.apple.com/us/app/momo-ai-photo-video-maker/id1658822260</t>
        </is>
      </c>
    </row>
    <row r="34">
      <c r="A34" s="2" t="inlineStr">
        <is>
          <t>ai-photo-video</t>
        </is>
      </c>
      <c r="B34" s="2" t="inlineStr">
        <is>
          <t>Momo</t>
        </is>
      </c>
      <c r="C34" s="2" t="inlineStr">
        <is>
          <t>App Store US</t>
        </is>
      </c>
      <c r="D34" s="2" t="inlineStr">
        <is>
          <t>60 coins</t>
        </is>
      </c>
      <c r="E34" s="8" t="n"/>
      <c r="F34" s="9" t="n">
        <v>3.99</v>
      </c>
      <c r="G34" s="2" t="inlineStr">
        <is>
          <t>USD</t>
        </is>
      </c>
      <c r="H34" s="10">
        <f>IF(E34="","",1-F34/E34)</f>
        <v/>
      </c>
      <c r="I34" s="2" t="inlineStr">
        <is>
          <t>Gói coin</t>
        </is>
      </c>
      <c r="J34" s="2" t="inlineStr">
        <is>
          <t>https://apps.apple.com/us/app/momo-ai-photo-video-maker/id1658822260</t>
        </is>
      </c>
    </row>
    <row r="35">
      <c r="A35" s="2" t="inlineStr">
        <is>
          <t>ai-photo-video</t>
        </is>
      </c>
      <c r="B35" s="2" t="inlineStr">
        <is>
          <t>Momo</t>
        </is>
      </c>
      <c r="C35" s="2" t="inlineStr">
        <is>
          <t>App Store US</t>
        </is>
      </c>
      <c r="D35" s="2" t="inlineStr">
        <is>
          <t>120 coins</t>
        </is>
      </c>
      <c r="E35" s="8" t="n"/>
      <c r="F35" s="9" t="n">
        <v>4.99</v>
      </c>
      <c r="G35" s="2" t="inlineStr">
        <is>
          <t>USD</t>
        </is>
      </c>
      <c r="H35" s="10">
        <f>IF(E35="","",1-F35/E35)</f>
        <v/>
      </c>
      <c r="I35" s="2" t="inlineStr">
        <is>
          <t>Gói coin</t>
        </is>
      </c>
      <c r="J35" s="2" t="inlineStr">
        <is>
          <t>https://apps.apple.com/us/app/momo-ai-photo-video-maker/id1658822260</t>
        </is>
      </c>
    </row>
    <row r="36">
      <c r="A36" s="2" t="inlineStr">
        <is>
          <t>ai-photo-video</t>
        </is>
      </c>
      <c r="B36" s="2" t="inlineStr">
        <is>
          <t>Momo</t>
        </is>
      </c>
      <c r="C36" s="2" t="inlineStr">
        <is>
          <t>App Store US</t>
        </is>
      </c>
      <c r="D36" s="2" t="inlineStr">
        <is>
          <t>240 coins</t>
        </is>
      </c>
      <c r="E36" s="8" t="n"/>
      <c r="F36" s="9" t="n">
        <v>6.99</v>
      </c>
      <c r="G36" s="2" t="inlineStr">
        <is>
          <t>USD</t>
        </is>
      </c>
      <c r="H36" s="10">
        <f>IF(E36="","",1-F36/E36)</f>
        <v/>
      </c>
      <c r="I36" s="2" t="inlineStr">
        <is>
          <t>Gói coin</t>
        </is>
      </c>
      <c r="J36" s="2" t="inlineStr">
        <is>
          <t>https://apps.apple.com/us/app/momo-ai-photo-video-maker/id1658822260</t>
        </is>
      </c>
    </row>
    <row r="37">
      <c r="A37" s="2" t="inlineStr">
        <is>
          <t>chat-ai-character</t>
        </is>
      </c>
      <c r="B37" s="2" t="inlineStr">
        <is>
          <t>Honey</t>
        </is>
      </c>
      <c r="C37" s="2" t="inlineStr">
        <is>
          <t>Web funnel</t>
        </is>
      </c>
      <c r="D37" s="2" t="inlineStr">
        <is>
          <t>1 tháng</t>
        </is>
      </c>
      <c r="E37" s="9" t="n">
        <v>49.99</v>
      </c>
      <c r="F37" s="9" t="n">
        <v>24.99</v>
      </c>
      <c r="G37" s="2" t="inlineStr">
        <is>
          <t>USD</t>
        </is>
      </c>
      <c r="H37" s="10">
        <f>IF(E37="","",1-F37/E37)</f>
        <v/>
      </c>
      <c r="I37" s="2" t="inlineStr"/>
      <c r="J37" s="2" t="inlineStr">
        <is>
          <t>https://adspylab.com/dashboard/funnels?#run=d7569d90d0cc3ad7d4f8</t>
        </is>
      </c>
    </row>
    <row r="38">
      <c r="A38" s="2" t="inlineStr">
        <is>
          <t>chat-ai-character</t>
        </is>
      </c>
      <c r="B38" s="2" t="inlineStr">
        <is>
          <t>Honey</t>
        </is>
      </c>
      <c r="C38" s="2" t="inlineStr">
        <is>
          <t>Web funnel</t>
        </is>
      </c>
      <c r="D38" s="2" t="inlineStr">
        <is>
          <t>3 tháng (Most recommended)</t>
        </is>
      </c>
      <c r="E38" s="9" t="n">
        <v>109.99</v>
      </c>
      <c r="F38" s="9" t="n">
        <v>49.99</v>
      </c>
      <c r="G38" s="2" t="inlineStr">
        <is>
          <t>USD</t>
        </is>
      </c>
      <c r="H38" s="10">
        <f>IF(E38="","",1-F38/E38)</f>
        <v/>
      </c>
      <c r="I38" s="2" t="inlineStr"/>
      <c r="J38" s="2" t="inlineStr">
        <is>
          <t>https://adspylab.com/dashboard/funnels?#run=d7569d90d0cc3ad7d4f8</t>
        </is>
      </c>
    </row>
    <row r="39">
      <c r="A39" s="2" t="inlineStr">
        <is>
          <t>chat-ai-character</t>
        </is>
      </c>
      <c r="B39" s="2" t="inlineStr">
        <is>
          <t>Honey</t>
        </is>
      </c>
      <c r="C39" s="2" t="inlineStr">
        <is>
          <t>Web funnel</t>
        </is>
      </c>
      <c r="D39" s="2" t="inlineStr">
        <is>
          <t>12 tháng</t>
        </is>
      </c>
      <c r="E39" s="9" t="n">
        <v>299.99</v>
      </c>
      <c r="F39" s="9" t="n">
        <v>119.99</v>
      </c>
      <c r="G39" s="2" t="inlineStr">
        <is>
          <t>USD</t>
        </is>
      </c>
      <c r="H39" s="10">
        <f>IF(E39="","",1-F39/E39)</f>
        <v/>
      </c>
      <c r="I39" s="2" t="inlineStr"/>
      <c r="J39" s="2" t="inlineStr">
        <is>
          <t>https://adspylab.com/dashboard/funnels?#run=d7569d90d0cc3ad7d4f8</t>
        </is>
      </c>
    </row>
    <row r="40">
      <c r="A40" s="2" t="inlineStr">
        <is>
          <t>chat-ai-character</t>
        </is>
      </c>
      <c r="B40" s="2" t="inlineStr">
        <is>
          <t>Chai</t>
        </is>
      </c>
      <c r="C40" s="2" t="inlineStr">
        <is>
          <t>App Store US</t>
        </is>
      </c>
      <c r="D40" s="2" t="inlineStr">
        <is>
          <t>Premium Monthly</t>
        </is>
      </c>
      <c r="E40" s="8" t="n"/>
      <c r="F40" s="9" t="n">
        <v>13.99</v>
      </c>
      <c r="G40" s="2" t="inlineStr">
        <is>
          <t>USD</t>
        </is>
      </c>
      <c r="H40" s="10">
        <f>IF(E40="","",1-F40/E40)</f>
        <v/>
      </c>
      <c r="I40" s="2" t="inlineStr"/>
      <c r="J40" s="2" t="inlineStr">
        <is>
          <t>https://apps.apple.com/us/app/chai-social-ai-platform-chat/id1544750895</t>
        </is>
      </c>
    </row>
    <row r="41">
      <c r="A41" s="2" t="inlineStr">
        <is>
          <t>chat-ai-character</t>
        </is>
      </c>
      <c r="B41" s="2" t="inlineStr">
        <is>
          <t>Chai</t>
        </is>
      </c>
      <c r="C41" s="2" t="inlineStr">
        <is>
          <t>App Store US</t>
        </is>
      </c>
      <c r="D41" s="2" t="inlineStr">
        <is>
          <t>Premium Annual</t>
        </is>
      </c>
      <c r="E41" s="8" t="n"/>
      <c r="F41" s="9" t="n">
        <v>134.99</v>
      </c>
      <c r="G41" s="2" t="inlineStr">
        <is>
          <t>USD</t>
        </is>
      </c>
      <c r="H41" s="10">
        <f>IF(E41="","",1-F41/E41)</f>
        <v/>
      </c>
      <c r="I41" s="2" t="inlineStr"/>
      <c r="J41" s="2" t="inlineStr">
        <is>
          <t>https://apps.apple.com/us/app/chai-social-ai-platform-chat/id1544750895</t>
        </is>
      </c>
    </row>
    <row r="42">
      <c r="A42" s="2" t="inlineStr">
        <is>
          <t>chat-ai-character</t>
        </is>
      </c>
      <c r="B42" s="2" t="inlineStr">
        <is>
          <t>Chai</t>
        </is>
      </c>
      <c r="C42" s="2" t="inlineStr">
        <is>
          <t>App Store US</t>
        </is>
      </c>
      <c r="D42" s="2" t="inlineStr">
        <is>
          <t>Premium Membership</t>
        </is>
      </c>
      <c r="E42" s="8" t="n"/>
      <c r="F42" s="9" t="n">
        <v>9.99</v>
      </c>
      <c r="G42" s="2" t="inlineStr">
        <is>
          <t>USD</t>
        </is>
      </c>
      <c r="H42" s="10">
        <f>IF(E42="","",1-F42/E42)</f>
        <v/>
      </c>
      <c r="I42" s="2" t="inlineStr"/>
      <c r="J42" s="2" t="inlineStr">
        <is>
          <t>https://apps.apple.com/us/app/chai-social-ai-platform-chat/id1544750895</t>
        </is>
      </c>
    </row>
    <row r="43">
      <c r="A43" s="2" t="inlineStr">
        <is>
          <t>chat-ai-character</t>
        </is>
      </c>
      <c r="B43" s="2" t="inlineStr">
        <is>
          <t>Chai</t>
        </is>
      </c>
      <c r="C43" s="2" t="inlineStr">
        <is>
          <t>App Store US</t>
        </is>
      </c>
      <c r="D43" s="2" t="inlineStr">
        <is>
          <t>Ultra Weekly</t>
        </is>
      </c>
      <c r="E43" s="8" t="n"/>
      <c r="F43" s="9" t="n">
        <v>19.99</v>
      </c>
      <c r="G43" s="2" t="inlineStr">
        <is>
          <t>USD</t>
        </is>
      </c>
      <c r="H43" s="10">
        <f>IF(E43="","",1-F43/E43)</f>
        <v/>
      </c>
      <c r="I43" s="2" t="inlineStr"/>
      <c r="J43" s="2" t="inlineStr">
        <is>
          <t>https://apps.apple.com/us/app/chai-social-ai-platform-chat/id1544750895</t>
        </is>
      </c>
    </row>
    <row r="44">
      <c r="A44" s="2" t="inlineStr">
        <is>
          <t>chat-ai-character</t>
        </is>
      </c>
      <c r="B44" s="2" t="inlineStr">
        <is>
          <t>Chai</t>
        </is>
      </c>
      <c r="C44" s="2" t="inlineStr">
        <is>
          <t>App Store US</t>
        </is>
      </c>
      <c r="D44" s="2" t="inlineStr">
        <is>
          <t>Ultra Monthly</t>
        </is>
      </c>
      <c r="E44" s="8" t="n"/>
      <c r="F44" s="9" t="n">
        <v>29.99</v>
      </c>
      <c r="G44" s="2" t="inlineStr">
        <is>
          <t>USD</t>
        </is>
      </c>
      <c r="H44" s="10">
        <f>IF(E44="","",1-F44/E44)</f>
        <v/>
      </c>
      <c r="I44" s="2" t="inlineStr"/>
      <c r="J44" s="2" t="inlineStr">
        <is>
          <t>https://apps.apple.com/us/app/chai-social-ai-platform-chat/id1544750895</t>
        </is>
      </c>
    </row>
    <row r="45">
      <c r="A45" s="2" t="inlineStr">
        <is>
          <t>chat-ai-character</t>
        </is>
      </c>
      <c r="B45" s="2" t="inlineStr">
        <is>
          <t>Chai</t>
        </is>
      </c>
      <c r="C45" s="2" t="inlineStr">
        <is>
          <t>App Store US</t>
        </is>
      </c>
      <c r="D45" s="2" t="inlineStr">
        <is>
          <t>Ultra Annual</t>
        </is>
      </c>
      <c r="E45" s="8" t="n"/>
      <c r="F45" s="9" t="n">
        <v>269.99</v>
      </c>
      <c r="G45" s="2" t="inlineStr">
        <is>
          <t>USD</t>
        </is>
      </c>
      <c r="H45" s="10">
        <f>IF(E45="","",1-F45/E45)</f>
        <v/>
      </c>
      <c r="I45" s="2" t="inlineStr"/>
      <c r="J45" s="2" t="inlineStr">
        <is>
          <t>https://apps.apple.com/us/app/chai-social-ai-platform-chat/id1544750895</t>
        </is>
      </c>
    </row>
    <row r="46">
      <c r="A46" s="2" t="inlineStr">
        <is>
          <t>chat-ai-character</t>
        </is>
      </c>
      <c r="B46" s="2" t="inlineStr">
        <is>
          <t>Chai</t>
        </is>
      </c>
      <c r="C46" s="2" t="inlineStr">
        <is>
          <t>App Store US</t>
        </is>
      </c>
      <c r="D46" s="2" t="inlineStr">
        <is>
          <t>200 Pieces (lẻ)</t>
        </is>
      </c>
      <c r="E46" s="8" t="n"/>
      <c r="F46" s="9" t="n">
        <v>2.79</v>
      </c>
      <c r="G46" s="2" t="inlineStr">
        <is>
          <t>USD</t>
        </is>
      </c>
      <c r="H46" s="10">
        <f>IF(E46="","",1-F46/E46)</f>
        <v/>
      </c>
      <c r="I46" s="2" t="inlineStr"/>
      <c r="J46" s="2" t="inlineStr">
        <is>
          <t>https://apps.apple.com/us/app/chai-social-ai-platform-chat/id1544750895</t>
        </is>
      </c>
    </row>
    <row r="47">
      <c r="A47" s="2" t="inlineStr">
        <is>
          <t>chat-ai-character</t>
        </is>
      </c>
      <c r="B47" s="2" t="inlineStr">
        <is>
          <t>Chai</t>
        </is>
      </c>
      <c r="C47" s="2" t="inlineStr">
        <is>
          <t>App Store US</t>
        </is>
      </c>
      <c r="D47" s="2" t="inlineStr">
        <is>
          <t>500 Pieces (lẻ)</t>
        </is>
      </c>
      <c r="E47" s="8" t="n"/>
      <c r="F47" s="9" t="n">
        <v>6.99</v>
      </c>
      <c r="G47" s="2" t="inlineStr">
        <is>
          <t>USD</t>
        </is>
      </c>
      <c r="H47" s="10">
        <f>IF(E47="","",1-F47/E47)</f>
        <v/>
      </c>
      <c r="I47" s="2" t="inlineStr"/>
      <c r="J47" s="2" t="inlineStr">
        <is>
          <t>https://apps.apple.com/us/app/chai-social-ai-platform-chat/id1544750895</t>
        </is>
      </c>
    </row>
    <row r="48">
      <c r="A48" s="2" t="inlineStr">
        <is>
          <t>nebula / starlyn</t>
        </is>
      </c>
      <c r="B48" s="2" t="inlineStr">
        <is>
          <t>Nebula</t>
        </is>
      </c>
      <c r="C48" s="2" t="inlineStr">
        <is>
          <t>App Store US</t>
        </is>
      </c>
      <c r="D48" s="2" t="inlineStr">
        <is>
          <t>Premium</t>
        </is>
      </c>
      <c r="E48" s="8" t="n"/>
      <c r="F48" s="9" t="n">
        <v>2.99</v>
      </c>
      <c r="G48" s="2" t="inlineStr">
        <is>
          <t>USD</t>
        </is>
      </c>
      <c r="H48" s="10">
        <f>IF(E48="","",1-F48/E48)</f>
        <v/>
      </c>
      <c r="I48" s="2" t="inlineStr">
        <is>
          <t>Web: 3 phút chat miễn phí, không hiện giá</t>
        </is>
      </c>
      <c r="J48" s="2" t="inlineStr">
        <is>
          <t>https://apps.apple.com/us/app/nebula-spiritual-guidance/id1459969523</t>
        </is>
      </c>
    </row>
    <row r="49">
      <c r="A49" s="2" t="inlineStr">
        <is>
          <t>nebula / starlyn</t>
        </is>
      </c>
      <c r="B49" s="2" t="inlineStr">
        <is>
          <t>Nebula</t>
        </is>
      </c>
      <c r="C49" s="2" t="inlineStr">
        <is>
          <t>App Store US</t>
        </is>
      </c>
      <c r="D49" s="2" t="inlineStr">
        <is>
          <t>Premium</t>
        </is>
      </c>
      <c r="E49" s="8" t="n"/>
      <c r="F49" s="9" t="n">
        <v>7.99</v>
      </c>
      <c r="G49" s="2" t="inlineStr">
        <is>
          <t>USD</t>
        </is>
      </c>
      <c r="H49" s="10">
        <f>IF(E49="","",1-F49/E49)</f>
        <v/>
      </c>
      <c r="I49" s="2" t="inlineStr">
        <is>
          <t>Web: 3 phút chat miễn phí, không hiện giá</t>
        </is>
      </c>
      <c r="J49" s="2" t="inlineStr">
        <is>
          <t>https://apps.apple.com/us/app/nebula-spiritual-guidance/id1459969523</t>
        </is>
      </c>
    </row>
    <row r="50">
      <c r="A50" s="2" t="inlineStr">
        <is>
          <t>nebula / starlyn</t>
        </is>
      </c>
      <c r="B50" s="2" t="inlineStr">
        <is>
          <t>Nebula</t>
        </is>
      </c>
      <c r="C50" s="2" t="inlineStr">
        <is>
          <t>App Store US</t>
        </is>
      </c>
      <c r="D50" s="2" t="inlineStr">
        <is>
          <t>Premium</t>
        </is>
      </c>
      <c r="E50" s="8" t="n"/>
      <c r="F50" s="9" t="n">
        <v>29.99</v>
      </c>
      <c r="G50" s="2" t="inlineStr">
        <is>
          <t>USD</t>
        </is>
      </c>
      <c r="H50" s="10">
        <f>IF(E50="","",1-F50/E50)</f>
        <v/>
      </c>
      <c r="I50" s="2" t="inlineStr">
        <is>
          <t>Web: 3 phút chat miễn phí, không hiện giá</t>
        </is>
      </c>
      <c r="J50" s="2" t="inlineStr">
        <is>
          <t>https://apps.apple.com/us/app/nebula-spiritual-guidance/id1459969523</t>
        </is>
      </c>
    </row>
    <row r="51">
      <c r="A51" s="2" t="inlineStr">
        <is>
          <t>nebula / starlyn</t>
        </is>
      </c>
      <c r="B51" s="2" t="inlineStr">
        <is>
          <t>Nebula</t>
        </is>
      </c>
      <c r="C51" s="2" t="inlineStr">
        <is>
          <t>App Store US</t>
        </is>
      </c>
      <c r="D51" s="2" t="inlineStr">
        <is>
          <t>Premium</t>
        </is>
      </c>
      <c r="E51" s="8" t="n"/>
      <c r="F51" s="9" t="n">
        <v>39.99</v>
      </c>
      <c r="G51" s="2" t="inlineStr">
        <is>
          <t>USD</t>
        </is>
      </c>
      <c r="H51" s="10">
        <f>IF(E51="","",1-F51/E51)</f>
        <v/>
      </c>
      <c r="I51" s="2" t="inlineStr">
        <is>
          <t>Web: 3 phút chat miễn phí, không hiện giá</t>
        </is>
      </c>
      <c r="J51" s="2" t="inlineStr">
        <is>
          <t>https://apps.apple.com/us/app/nebula-spiritual-guidance/id1459969523</t>
        </is>
      </c>
    </row>
    <row r="52">
      <c r="A52" s="2" t="inlineStr">
        <is>
          <t>nebula / starlyn</t>
        </is>
      </c>
      <c r="B52" s="2" t="inlineStr">
        <is>
          <t>Nebula</t>
        </is>
      </c>
      <c r="C52" s="2" t="inlineStr">
        <is>
          <t>App Store US</t>
        </is>
      </c>
      <c r="D52" s="2" t="inlineStr">
        <is>
          <t>Premium</t>
        </is>
      </c>
      <c r="E52" s="8" t="n"/>
      <c r="F52" s="9" t="n">
        <v>49.99</v>
      </c>
      <c r="G52" s="2" t="inlineStr">
        <is>
          <t>USD</t>
        </is>
      </c>
      <c r="H52" s="10">
        <f>IF(E52="","",1-F52/E52)</f>
        <v/>
      </c>
      <c r="I52" s="2" t="inlineStr">
        <is>
          <t>Web: 3 phút chat miễn phí, không hiện giá</t>
        </is>
      </c>
      <c r="J52" s="2" t="inlineStr">
        <is>
          <t>https://apps.apple.com/us/app/nebula-spiritual-guidance/id1459969523</t>
        </is>
      </c>
    </row>
    <row r="53">
      <c r="A53" s="2" t="inlineStr">
        <is>
          <t>nebula / starlyn</t>
        </is>
      </c>
      <c r="B53" s="2" t="inlineStr">
        <is>
          <t>Nebula</t>
        </is>
      </c>
      <c r="C53" s="2" t="inlineStr">
        <is>
          <t>App Store US</t>
        </is>
      </c>
      <c r="D53" s="2" t="inlineStr">
        <is>
          <t>Chat Balance</t>
        </is>
      </c>
      <c r="E53" s="8" t="n"/>
      <c r="F53" s="9" t="n">
        <v>9.99</v>
      </c>
      <c r="G53" s="2" t="inlineStr">
        <is>
          <t>USD</t>
        </is>
      </c>
      <c r="H53" s="10">
        <f>IF(E53="","",1-F53/E53)</f>
        <v/>
      </c>
      <c r="I53" s="2" t="inlineStr">
        <is>
          <t>Web: 3 phút chat miễn phí, không hiện giá</t>
        </is>
      </c>
      <c r="J53" s="2" t="inlineStr">
        <is>
          <t>https://apps.apple.com/us/app/nebula-spiritual-guidance/id1459969523</t>
        </is>
      </c>
    </row>
    <row r="54">
      <c r="A54" s="2" t="inlineStr">
        <is>
          <t>nebula / starlyn</t>
        </is>
      </c>
      <c r="B54" s="2" t="inlineStr">
        <is>
          <t>Nebula</t>
        </is>
      </c>
      <c r="C54" s="2" t="inlineStr">
        <is>
          <t>App Store US</t>
        </is>
      </c>
      <c r="D54" s="2" t="inlineStr">
        <is>
          <t>Daily secrets (lẻ)</t>
        </is>
      </c>
      <c r="E54" s="8" t="n"/>
      <c r="F54" s="9" t="n">
        <v>7.99</v>
      </c>
      <c r="G54" s="2" t="inlineStr">
        <is>
          <t>USD</t>
        </is>
      </c>
      <c r="H54" s="10">
        <f>IF(E54="","",1-F54/E54)</f>
        <v/>
      </c>
      <c r="I54" s="2" t="inlineStr">
        <is>
          <t>Web: 3 phút chat miễn phí, không hiện giá</t>
        </is>
      </c>
      <c r="J54" s="2" t="inlineStr">
        <is>
          <t>https://apps.apple.com/us/app/nebula-spiritual-guidance/id1459969523</t>
        </is>
      </c>
    </row>
    <row r="55">
      <c r="A55" s="2" t="inlineStr">
        <is>
          <t>nebula / starlyn</t>
        </is>
      </c>
      <c r="B55" s="2" t="inlineStr">
        <is>
          <t>Nebula</t>
        </is>
      </c>
      <c r="C55" s="2" t="inlineStr">
        <is>
          <t>App Store US</t>
        </is>
      </c>
      <c r="D55" s="2" t="inlineStr">
        <is>
          <t>Relationship Check-In (lẻ)</t>
        </is>
      </c>
      <c r="E55" s="8" t="n"/>
      <c r="F55" s="9" t="n">
        <v>4.99</v>
      </c>
      <c r="G55" s="2" t="inlineStr">
        <is>
          <t>USD</t>
        </is>
      </c>
      <c r="H55" s="10">
        <f>IF(E55="","",1-F55/E55)</f>
        <v/>
      </c>
      <c r="I55" s="2" t="inlineStr">
        <is>
          <t>Web: 3 phút chat miễn phí, không hiện giá</t>
        </is>
      </c>
      <c r="J55" s="2" t="inlineStr">
        <is>
          <t>https://apps.apple.com/us/app/nebula-spiritual-guidance/id1459969523</t>
        </is>
      </c>
    </row>
    <row r="56">
      <c r="A56" s="2" t="inlineStr">
        <is>
          <t>nebula / starlyn</t>
        </is>
      </c>
      <c r="B56" s="2" t="inlineStr">
        <is>
          <t>Hint</t>
        </is>
      </c>
      <c r="C56" s="2" t="inlineStr">
        <is>
          <t>Web funnel</t>
        </is>
      </c>
      <c r="D56" s="2" t="inlineStr">
        <is>
          <t>Trial 7 ngày</t>
        </is>
      </c>
      <c r="E56" s="8" t="n"/>
      <c r="F56" s="9" t="n">
        <v>1</v>
      </c>
      <c r="G56" s="2" t="inlineStr">
        <is>
          <t>EUR</t>
        </is>
      </c>
      <c r="H56" s="10">
        <f>IF(E56="","",1-F56/E56)</f>
        <v/>
      </c>
      <c r="I56" s="2" t="inlineStr">
        <is>
          <t>Giá gia hạn không hiện trên màn đã lưu</t>
        </is>
      </c>
      <c r="J56" s="2" t="inlineStr">
        <is>
          <t>https://adspylab.com/dashboard/funnels?#run=5e3c0d68cae425194b32</t>
        </is>
      </c>
    </row>
    <row r="57">
      <c r="A57" s="2" t="inlineStr">
        <is>
          <t>nebula / starlyn</t>
        </is>
      </c>
      <c r="B57" s="2" t="inlineStr">
        <is>
          <t>Hint</t>
        </is>
      </c>
      <c r="C57" s="2" t="inlineStr">
        <is>
          <t>Web funnel</t>
        </is>
      </c>
      <c r="D57" s="2" t="inlineStr">
        <is>
          <t>Báo cáo phụ (upsell)</t>
        </is>
      </c>
      <c r="E57" s="8" t="n"/>
      <c r="F57" s="9" t="n">
        <v>3</v>
      </c>
      <c r="G57" s="2" t="inlineStr">
        <is>
          <t>EUR</t>
        </is>
      </c>
      <c r="H57" s="10">
        <f>IF(E57="","",1-F57/E57)</f>
        <v/>
      </c>
      <c r="I57" s="2" t="inlineStr">
        <is>
          <t>Astrocartography, Soulmate Sketch…</t>
        </is>
      </c>
      <c r="J57" s="2" t="inlineStr">
        <is>
          <t>https://adspylab.com/dashboard/funnels?#run=7795bed9366af0758802</t>
        </is>
      </c>
    </row>
    <row r="58">
      <c r="A58" s="2" t="inlineStr">
        <is>
          <t>learning</t>
        </is>
      </c>
      <c r="B58" s="2" t="inlineStr">
        <is>
          <t>Coursiv</t>
        </is>
      </c>
      <c r="C58" s="2" t="inlineStr">
        <is>
          <t>Web funnel</t>
        </is>
      </c>
      <c r="D58" s="2" t="inlineStr">
        <is>
          <t>1 tuần</t>
        </is>
      </c>
      <c r="E58" s="9" t="n">
        <v>13.86</v>
      </c>
      <c r="F58" s="9" t="n">
        <v>6.93</v>
      </c>
      <c r="G58" s="2" t="inlineStr">
        <is>
          <t>EUR</t>
        </is>
      </c>
      <c r="H58" s="10">
        <f>IF(E58="","",1-F58/E58)</f>
        <v/>
      </c>
      <c r="I58" s="2" t="inlineStr"/>
      <c r="J58" s="2" t="inlineStr">
        <is>
          <t>https://adspylab.com/dashboard/funnels?#run=bfc5f86d45f8ca47f193</t>
        </is>
      </c>
    </row>
    <row r="59">
      <c r="A59" s="2" t="inlineStr">
        <is>
          <t>learning</t>
        </is>
      </c>
      <c r="B59" s="2" t="inlineStr">
        <is>
          <t>Coursiv</t>
        </is>
      </c>
      <c r="C59" s="2" t="inlineStr">
        <is>
          <t>Web funnel</t>
        </is>
      </c>
      <c r="D59" s="2" t="inlineStr">
        <is>
          <t>4 tuần</t>
        </is>
      </c>
      <c r="E59" s="9" t="n">
        <v>39.99</v>
      </c>
      <c r="F59" s="9" t="n">
        <v>19.99</v>
      </c>
      <c r="G59" s="2" t="inlineStr">
        <is>
          <t>EUR</t>
        </is>
      </c>
      <c r="H59" s="10">
        <f>IF(E59="","",1-F59/E59)</f>
        <v/>
      </c>
      <c r="I59" s="2" t="inlineStr"/>
      <c r="J59" s="2" t="inlineStr">
        <is>
          <t>https://adspylab.com/dashboard/funnels?#run=bfc5f86d45f8ca47f193</t>
        </is>
      </c>
    </row>
    <row r="60">
      <c r="A60" s="2" t="inlineStr">
        <is>
          <t>learning</t>
        </is>
      </c>
      <c r="B60" s="2" t="inlineStr">
        <is>
          <t>Coursiv</t>
        </is>
      </c>
      <c r="C60" s="2" t="inlineStr">
        <is>
          <t>Web funnel</t>
        </is>
      </c>
      <c r="D60" s="2" t="inlineStr">
        <is>
          <t>12 tuần</t>
        </is>
      </c>
      <c r="E60" s="9" t="n">
        <v>79.98999999999999</v>
      </c>
      <c r="F60" s="9" t="n">
        <v>39.99</v>
      </c>
      <c r="G60" s="2" t="inlineStr">
        <is>
          <t>EUR</t>
        </is>
      </c>
      <c r="H60" s="10">
        <f>IF(E60="","",1-F60/E60)</f>
        <v/>
      </c>
      <c r="I60" s="2" t="inlineStr"/>
      <c r="J60" s="2" t="inlineStr">
        <is>
          <t>https://adspylab.com/dashboard/funnels?#run=bfc5f86d45f8ca47f193</t>
        </is>
      </c>
    </row>
    <row r="61">
      <c r="A61" s="2" t="inlineStr">
        <is>
          <t>learning</t>
        </is>
      </c>
      <c r="B61" s="2" t="inlineStr">
        <is>
          <t>Tixu.ai</t>
        </is>
      </c>
      <c r="C61" s="2" t="inlineStr">
        <is>
          <t>Web funnel</t>
        </is>
      </c>
      <c r="D61" s="2" t="inlineStr">
        <is>
          <t>1 tuần</t>
        </is>
      </c>
      <c r="E61" s="9" t="n">
        <v>13.86</v>
      </c>
      <c r="F61" s="9" t="n">
        <v>6.93</v>
      </c>
      <c r="G61" s="2" t="inlineStr">
        <is>
          <t>EUR</t>
        </is>
      </c>
      <c r="H61" s="10">
        <f>IF(E61="","",1-F61/E61)</f>
        <v/>
      </c>
      <c r="I61" s="2" t="inlineStr">
        <is>
          <t>Cùng bậc giá Coursiv</t>
        </is>
      </c>
      <c r="J61" s="2" t="inlineStr">
        <is>
          <t>https://adspylab.com/dashboard/funnels?#run=fb64e6960181332342d1</t>
        </is>
      </c>
    </row>
    <row r="62">
      <c r="A62" s="2" t="inlineStr">
        <is>
          <t>learning</t>
        </is>
      </c>
      <c r="B62" s="2" t="inlineStr">
        <is>
          <t>Tixu.ai</t>
        </is>
      </c>
      <c r="C62" s="2" t="inlineStr">
        <is>
          <t>Web funnel</t>
        </is>
      </c>
      <c r="D62" s="2" t="inlineStr">
        <is>
          <t>4 tuần</t>
        </is>
      </c>
      <c r="E62" s="9" t="n">
        <v>39.99</v>
      </c>
      <c r="F62" s="9" t="n">
        <v>19.99</v>
      </c>
      <c r="G62" s="2" t="inlineStr">
        <is>
          <t>EUR</t>
        </is>
      </c>
      <c r="H62" s="10">
        <f>IF(E62="","",1-F62/E62)</f>
        <v/>
      </c>
      <c r="I62" s="2" t="inlineStr">
        <is>
          <t>Cùng bậc giá Coursiv</t>
        </is>
      </c>
      <c r="J62" s="2" t="inlineStr">
        <is>
          <t>https://adspylab.com/dashboard/funnels?#run=fb64e6960181332342d1</t>
        </is>
      </c>
    </row>
    <row r="63">
      <c r="A63" s="2" t="inlineStr">
        <is>
          <t>learning</t>
        </is>
      </c>
      <c r="B63" s="2" t="inlineStr">
        <is>
          <t>Tixu.ai</t>
        </is>
      </c>
      <c r="C63" s="2" t="inlineStr">
        <is>
          <t>Web funnel</t>
        </is>
      </c>
      <c r="D63" s="2" t="inlineStr">
        <is>
          <t>12 tuần</t>
        </is>
      </c>
      <c r="E63" s="9" t="n">
        <v>79.98999999999999</v>
      </c>
      <c r="F63" s="9" t="n">
        <v>39.99</v>
      </c>
      <c r="G63" s="2" t="inlineStr">
        <is>
          <t>EUR</t>
        </is>
      </c>
      <c r="H63" s="10">
        <f>IF(E63="","",1-F63/E63)</f>
        <v/>
      </c>
      <c r="I63" s="2" t="inlineStr">
        <is>
          <t>Cùng bậc giá Coursiv</t>
        </is>
      </c>
      <c r="J63" s="2" t="inlineStr">
        <is>
          <t>https://adspylab.com/dashboard/funnels?#run=fb64e6960181332342d1</t>
        </is>
      </c>
    </row>
    <row r="64">
      <c r="A64" s="2" t="inlineStr">
        <is>
          <t>learning</t>
        </is>
      </c>
      <c r="B64" s="2" t="inlineStr">
        <is>
          <t>Tixu.ai</t>
        </is>
      </c>
      <c r="C64" s="2" t="inlineStr">
        <is>
          <t>Web funnel</t>
        </is>
      </c>
      <c r="D64" s="2" t="inlineStr">
        <is>
          <t>Trial → monthly</t>
        </is>
      </c>
      <c r="E64" s="8" t="n"/>
      <c r="F64" s="9" t="n">
        <v>1</v>
      </c>
      <c r="G64" s="2" t="inlineStr">
        <is>
          <t>EUR</t>
        </is>
      </c>
      <c r="H64" s="10">
        <f>IF(E64="","",1-F64/E64)</f>
        <v/>
      </c>
      <c r="I64" s="2" t="inlineStr">
        <is>
          <t>Bản test: €1 rồi €29.99/tháng</t>
        </is>
      </c>
      <c r="J64" s="2" t="inlineStr">
        <is>
          <t>https://adspylab.com/dashboard/funnels?#run=872fb413999e839f93fb</t>
        </is>
      </c>
    </row>
    <row r="65">
      <c r="A65" s="2" t="inlineStr">
        <is>
          <t>learning</t>
        </is>
      </c>
      <c r="B65" s="2" t="inlineStr">
        <is>
          <t>Headway</t>
        </is>
      </c>
      <c r="C65" s="2" t="inlineStr">
        <is>
          <t>Web funnel</t>
        </is>
      </c>
      <c r="D65" s="2" t="inlineStr">
        <is>
          <t>1 tháng</t>
        </is>
      </c>
      <c r="E65" s="9" t="n">
        <v>27.36</v>
      </c>
      <c r="F65" s="9" t="n">
        <v>13.41</v>
      </c>
      <c r="G65" s="2" t="inlineStr">
        <is>
          <t>USD</t>
        </is>
      </c>
      <c r="H65" s="10">
        <f>IF(E65="","",1-F65/E65)</f>
        <v/>
      </c>
      <c r="I65" s="2" t="inlineStr"/>
      <c r="J65" s="2" t="inlineStr">
        <is>
          <t>https://adspylab.com/dashboard/funnels?#run=ff3a41f0eb88e5c48f2c</t>
        </is>
      </c>
    </row>
    <row r="66">
      <c r="A66" s="2" t="inlineStr">
        <is>
          <t>learning</t>
        </is>
      </c>
      <c r="B66" s="2" t="inlineStr">
        <is>
          <t>Headway</t>
        </is>
      </c>
      <c r="C66" s="2" t="inlineStr">
        <is>
          <t>Web funnel</t>
        </is>
      </c>
      <c r="D66" s="2" t="inlineStr">
        <is>
          <t>3 tháng</t>
        </is>
      </c>
      <c r="E66" s="9" t="n">
        <v>49.98</v>
      </c>
      <c r="F66" s="9" t="n">
        <v>19.98</v>
      </c>
      <c r="G66" s="2" t="inlineStr">
        <is>
          <t>USD</t>
        </is>
      </c>
      <c r="H66" s="10">
        <f>IF(E66="","",1-F66/E66)</f>
        <v/>
      </c>
      <c r="I66" s="2" t="inlineStr"/>
      <c r="J66" s="2" t="inlineStr">
        <is>
          <t>https://adspylab.com/dashboard/funnels?#run=ff3a41f0eb88e5c48f2c</t>
        </is>
      </c>
    </row>
    <row r="67">
      <c r="A67" s="2" t="inlineStr">
        <is>
          <t>learning</t>
        </is>
      </c>
      <c r="B67" s="2" t="inlineStr">
        <is>
          <t>Headway</t>
        </is>
      </c>
      <c r="C67" s="2" t="inlineStr">
        <is>
          <t>Web funnel</t>
        </is>
      </c>
      <c r="D67" s="2" t="inlineStr">
        <is>
          <t>12 tháng</t>
        </is>
      </c>
      <c r="E67" s="9" t="n">
        <v>108.14</v>
      </c>
      <c r="F67" s="9" t="n">
        <v>52.99</v>
      </c>
      <c r="G67" s="2" t="inlineStr">
        <is>
          <t>USD</t>
        </is>
      </c>
      <c r="H67" s="10">
        <f>IF(E67="","",1-F67/E67)</f>
        <v/>
      </c>
      <c r="I67" s="2" t="inlineStr"/>
      <c r="J67" s="2" t="inlineStr">
        <is>
          <t>https://adspylab.com/dashboard/funnels?#run=ff3a41f0eb88e5c48f2c</t>
        </is>
      </c>
    </row>
    <row r="68">
      <c r="A68" s="2" t="inlineStr">
        <is>
          <t>learning</t>
        </is>
      </c>
      <c r="B68" s="2" t="inlineStr">
        <is>
          <t>MyGrowth</t>
        </is>
      </c>
      <c r="C68" s="2" t="inlineStr">
        <is>
          <t>Web funnel</t>
        </is>
      </c>
      <c r="D68" s="2" t="inlineStr">
        <is>
          <t>4 tuần (Most popular)</t>
        </is>
      </c>
      <c r="E68" s="9" t="n">
        <v>24.99</v>
      </c>
      <c r="F68" s="9" t="n">
        <v>9.99</v>
      </c>
      <c r="G68" s="2" t="inlineStr">
        <is>
          <t>USD</t>
        </is>
      </c>
      <c r="H68" s="10">
        <f>IF(E68="","",1-F68/E68)</f>
        <v/>
      </c>
      <c r="I68" s="2" t="inlineStr"/>
      <c r="J68" s="2" t="inlineStr">
        <is>
          <t>https://adspylab.com/dashboard/funnels?#run=f9f1e80db58e715d0597</t>
        </is>
      </c>
    </row>
    <row r="69">
      <c r="A69" s="2" t="inlineStr">
        <is>
          <t>learning</t>
        </is>
      </c>
      <c r="B69" s="2" t="inlineStr">
        <is>
          <t>MyGrowth</t>
        </is>
      </c>
      <c r="C69" s="2" t="inlineStr">
        <is>
          <t>Web funnel</t>
        </is>
      </c>
      <c r="D69" s="2" t="inlineStr">
        <is>
          <t>12 tuần</t>
        </is>
      </c>
      <c r="E69" s="9" t="n">
        <v>44.99</v>
      </c>
      <c r="F69" s="9" t="n">
        <v>19.99</v>
      </c>
      <c r="G69" s="2" t="inlineStr">
        <is>
          <t>USD</t>
        </is>
      </c>
      <c r="H69" s="10">
        <f>IF(E69="","",1-F69/E69)</f>
        <v/>
      </c>
      <c r="I69" s="2" t="inlineStr"/>
      <c r="J69" s="2" t="inlineStr">
        <is>
          <t>https://adspylab.com/dashboard/funnels?#run=f9f1e80db58e715d0597</t>
        </is>
      </c>
    </row>
    <row r="70">
      <c r="A70" s="2" t="inlineStr">
        <is>
          <t>learning</t>
        </is>
      </c>
      <c r="B70" s="2" t="inlineStr">
        <is>
          <t>MyGrowth</t>
        </is>
      </c>
      <c r="C70" s="2" t="inlineStr">
        <is>
          <t>Web funnel</t>
        </is>
      </c>
      <c r="D70" s="2" t="inlineStr">
        <is>
          <t>26 tuần</t>
        </is>
      </c>
      <c r="E70" s="9" t="n">
        <v>74.98999999999999</v>
      </c>
      <c r="F70" s="9" t="n">
        <v>29.99</v>
      </c>
      <c r="G70" s="2" t="inlineStr">
        <is>
          <t>USD</t>
        </is>
      </c>
      <c r="H70" s="10">
        <f>IF(E70="","",1-F70/E70)</f>
        <v/>
      </c>
      <c r="I70" s="2" t="inlineStr"/>
      <c r="J70" s="2" t="inlineStr">
        <is>
          <t>https://adspylab.com/dashboard/funnels?#run=f9f1e80db58e715d0597</t>
        </is>
      </c>
    </row>
    <row r="71">
      <c r="A71" s="2" t="inlineStr">
        <is>
          <t>mental-health</t>
        </is>
      </c>
      <c r="B71" s="2" t="inlineStr">
        <is>
          <t>Calm</t>
        </is>
      </c>
      <c r="C71" s="2" t="inlineStr">
        <is>
          <t>Web funnel (US)</t>
        </is>
      </c>
      <c r="D71" s="2" t="inlineStr">
        <is>
          <t>Gói ngắn</t>
        </is>
      </c>
      <c r="E71" s="9" t="n">
        <v>14.99</v>
      </c>
      <c r="F71" s="9" t="n">
        <v>13.49</v>
      </c>
      <c r="G71" s="2" t="inlineStr">
        <is>
          <t>USD</t>
        </is>
      </c>
      <c r="H71" s="10">
        <f>IF(E71="","",1-F71/E71)</f>
        <v/>
      </c>
      <c r="I71" s="2" t="inlineStr">
        <is>
          <t>Màn đã lưu không ghi rõ chu kỳ gói ngắn/giữa</t>
        </is>
      </c>
      <c r="J71" s="2" t="inlineStr">
        <is>
          <t>https://adspylab.com/dashboard/funnels?#run=57cfbfa310f2673ac233</t>
        </is>
      </c>
    </row>
    <row r="72">
      <c r="A72" s="2" t="inlineStr">
        <is>
          <t>mental-health</t>
        </is>
      </c>
      <c r="B72" s="2" t="inlineStr">
        <is>
          <t>Calm</t>
        </is>
      </c>
      <c r="C72" s="2" t="inlineStr">
        <is>
          <t>Web funnel (US)</t>
        </is>
      </c>
      <c r="D72" s="2" t="inlineStr">
        <is>
          <t>Gói giữa</t>
        </is>
      </c>
      <c r="E72" s="9" t="n">
        <v>44.97</v>
      </c>
      <c r="F72" s="9" t="n">
        <v>35.98</v>
      </c>
      <c r="G72" s="2" t="inlineStr">
        <is>
          <t>USD</t>
        </is>
      </c>
      <c r="H72" s="10">
        <f>IF(E72="","",1-F72/E72)</f>
        <v/>
      </c>
      <c r="I72" s="2" t="inlineStr">
        <is>
          <t>Màn đã lưu không ghi rõ chu kỳ gói ngắn/giữa</t>
        </is>
      </c>
      <c r="J72" s="2" t="inlineStr">
        <is>
          <t>https://adspylab.com/dashboard/funnels?#run=57cfbfa310f2673ac233</t>
        </is>
      </c>
    </row>
    <row r="73">
      <c r="A73" s="2" t="inlineStr">
        <is>
          <t>mental-health</t>
        </is>
      </c>
      <c r="B73" s="2" t="inlineStr">
        <is>
          <t>Calm</t>
        </is>
      </c>
      <c r="C73" s="2" t="inlineStr">
        <is>
          <t>Web funnel (US)</t>
        </is>
      </c>
      <c r="D73" s="2" t="inlineStr">
        <is>
          <t>Gói năm</t>
        </is>
      </c>
      <c r="E73" s="9" t="n">
        <v>179.88</v>
      </c>
      <c r="F73" s="9" t="n">
        <v>69.98999999999999</v>
      </c>
      <c r="G73" s="2" t="inlineStr">
        <is>
          <t>USD</t>
        </is>
      </c>
      <c r="H73" s="10">
        <f>IF(E73="","",1-F73/E73)</f>
        <v/>
      </c>
      <c r="I73" s="2" t="inlineStr">
        <is>
          <t>Màn đã lưu không ghi rõ chu kỳ gói ngắn/giữa</t>
        </is>
      </c>
      <c r="J73" s="2" t="inlineStr">
        <is>
          <t>https://adspylab.com/dashboard/funnels?#run=57cfbfa310f2673ac233</t>
        </is>
      </c>
    </row>
    <row r="74">
      <c r="A74" s="2" t="inlineStr">
        <is>
          <t>mental-health</t>
        </is>
      </c>
      <c r="B74" s="2" t="inlineStr">
        <is>
          <t>Calm</t>
        </is>
      </c>
      <c r="C74" s="2" t="inlineStr">
        <is>
          <t>Web funnel (EU)</t>
        </is>
      </c>
      <c r="D74" s="2" t="inlineStr">
        <is>
          <t>Gói ngắn</t>
        </is>
      </c>
      <c r="E74" s="9" t="n">
        <v>20.9</v>
      </c>
      <c r="F74" s="9" t="n">
        <v>11.5</v>
      </c>
      <c r="G74" s="2" t="inlineStr">
        <is>
          <t>EUR</t>
        </is>
      </c>
      <c r="H74" s="10">
        <f>IF(E74="","",1-F74/E74)</f>
        <v/>
      </c>
      <c r="I74" s="2" t="inlineStr"/>
      <c r="J74" s="2" t="inlineStr">
        <is>
          <t>https://adspylab.com/dashboard/funnels?#run=2e362b1060fc319b4bf8</t>
        </is>
      </c>
    </row>
    <row r="75">
      <c r="A75" s="2" t="inlineStr">
        <is>
          <t>mental-health</t>
        </is>
      </c>
      <c r="B75" s="2" t="inlineStr">
        <is>
          <t>Calm</t>
        </is>
      </c>
      <c r="C75" s="2" t="inlineStr">
        <is>
          <t>Web funnel (EU)</t>
        </is>
      </c>
      <c r="D75" s="2" t="inlineStr">
        <is>
          <t>Gói giữa</t>
        </is>
      </c>
      <c r="E75" s="9" t="n">
        <v>63.35</v>
      </c>
      <c r="F75" s="9" t="n">
        <v>30.41</v>
      </c>
      <c r="G75" s="2" t="inlineStr">
        <is>
          <t>EUR</t>
        </is>
      </c>
      <c r="H75" s="10">
        <f>IF(E75="","",1-F75/E75)</f>
        <v/>
      </c>
      <c r="I75" s="2" t="inlineStr"/>
      <c r="J75" s="2" t="inlineStr">
        <is>
          <t>https://adspylab.com/dashboard/funnels?#run=2e362b1060fc319b4bf8</t>
        </is>
      </c>
    </row>
    <row r="76">
      <c r="A76" s="2" t="inlineStr">
        <is>
          <t>mental-health</t>
        </is>
      </c>
      <c r="B76" s="2" t="inlineStr">
        <is>
          <t>Calm</t>
        </is>
      </c>
      <c r="C76" s="2" t="inlineStr">
        <is>
          <t>Web funnel (EU)</t>
        </is>
      </c>
      <c r="D76" s="2" t="inlineStr">
        <is>
          <t>Gói năm</t>
        </is>
      </c>
      <c r="E76" s="9" t="n">
        <v>246.99</v>
      </c>
      <c r="F76" s="9" t="n">
        <v>41.99</v>
      </c>
      <c r="G76" s="2" t="inlineStr">
        <is>
          <t>EUR</t>
        </is>
      </c>
      <c r="H76" s="10">
        <f>IF(E76="","",1-F76/E76)</f>
        <v/>
      </c>
      <c r="I76" s="2" t="inlineStr"/>
      <c r="J76" s="2" t="inlineStr">
        <is>
          <t>https://adspylab.com/dashboard/funnels?#run=2e362b1060fc319b4bf8</t>
        </is>
      </c>
    </row>
    <row r="77">
      <c r="A77" s="2" t="inlineStr">
        <is>
          <t>scanner / authenticator</t>
        </is>
      </c>
      <c r="B77" s="2" t="inlineStr">
        <is>
          <t>ClarityCheck</t>
        </is>
      </c>
      <c r="C77" s="2" t="inlineStr">
        <is>
          <t>Web funnel</t>
        </is>
      </c>
      <c r="D77" s="2" t="inlineStr">
        <is>
          <t>Trial 7 ngày</t>
        </is>
      </c>
      <c r="E77" s="8" t="n"/>
      <c r="F77" s="9" t="n">
        <v>1</v>
      </c>
      <c r="G77" s="2" t="inlineStr">
        <is>
          <t>EUR</t>
        </is>
      </c>
      <c r="H77" s="10">
        <f>IF(E77="","",1-F77/E77)</f>
        <v/>
      </c>
      <c r="I77" s="2" t="inlineStr">
        <is>
          <t>Sau trial €29.99</t>
        </is>
      </c>
      <c r="J77" s="2" t="inlineStr">
        <is>
          <t>https://adspylab.com/dashboard/funnels?#run=2e52bfc4951c944a6ac6</t>
        </is>
      </c>
    </row>
    <row r="78">
      <c r="A78" s="2" t="inlineStr">
        <is>
          <t>scanner / authenticator</t>
        </is>
      </c>
      <c r="B78" s="2" t="inlineStr">
        <is>
          <t>ClarityCheck</t>
        </is>
      </c>
      <c r="C78" s="2" t="inlineStr">
        <is>
          <t>Web funnel</t>
        </is>
      </c>
      <c r="D78" s="2" t="inlineStr">
        <is>
          <t>Gia hạn</t>
        </is>
      </c>
      <c r="E78" s="8" t="n"/>
      <c r="F78" s="9" t="n">
        <v>29.99</v>
      </c>
      <c r="G78" s="2" t="inlineStr">
        <is>
          <t>EUR</t>
        </is>
      </c>
      <c r="H78" s="10">
        <f>IF(E78="","",1-F78/E78)</f>
        <v/>
      </c>
      <c r="I78" s="2" t="inlineStr"/>
      <c r="J78" s="2" t="inlineStr">
        <is>
          <t>https://adspylab.com/dashboard/funnels?#run=2e52bfc4951c944a6ac6</t>
        </is>
      </c>
    </row>
    <row r="79">
      <c r="A79" s="2" t="inlineStr">
        <is>
          <t>scanner / authenticator</t>
        </is>
      </c>
      <c r="B79" s="2" t="inlineStr">
        <is>
          <t>CoinIn</t>
        </is>
      </c>
      <c r="C79" s="2" t="inlineStr">
        <is>
          <t>App Store US</t>
        </is>
      </c>
      <c r="D79" s="2" t="inlineStr">
        <is>
          <t>Premium Access Weekly</t>
        </is>
      </c>
      <c r="E79" s="8" t="n"/>
      <c r="F79" s="9" t="n">
        <v>8.99</v>
      </c>
      <c r="G79" s="2" t="inlineStr">
        <is>
          <t>USD</t>
        </is>
      </c>
      <c r="H79" s="10">
        <f>IF(E79="","",1-F79/E79)</f>
        <v/>
      </c>
      <c r="I79" s="2" t="inlineStr"/>
      <c r="J79" s="2" t="inlineStr">
        <is>
          <t>https://apps.apple.com/us/app/coinin-coin-scan-identifier/id1672111368</t>
        </is>
      </c>
    </row>
    <row r="80">
      <c r="A80" s="2" t="inlineStr">
        <is>
          <t>scanner / authenticator</t>
        </is>
      </c>
      <c r="B80" s="2" t="inlineStr">
        <is>
          <t>CoinIn</t>
        </is>
      </c>
      <c r="C80" s="2" t="inlineStr">
        <is>
          <t>App Store US</t>
        </is>
      </c>
      <c r="D80" s="2" t="inlineStr">
        <is>
          <t>Premium Access Weekly</t>
        </is>
      </c>
      <c r="E80" s="8" t="n"/>
      <c r="F80" s="9" t="n">
        <v>10.99</v>
      </c>
      <c r="G80" s="2" t="inlineStr">
        <is>
          <t>USD</t>
        </is>
      </c>
      <c r="H80" s="10">
        <f>IF(E80="","",1-F80/E80)</f>
        <v/>
      </c>
      <c r="I80" s="2" t="inlineStr"/>
      <c r="J80" s="2" t="inlineStr">
        <is>
          <t>https://apps.apple.com/us/app/coinin-coin-scan-identifier/id1672111368</t>
        </is>
      </c>
    </row>
    <row r="81">
      <c r="A81" s="2" t="inlineStr">
        <is>
          <t>scanner / authenticator</t>
        </is>
      </c>
      <c r="B81" s="2" t="inlineStr">
        <is>
          <t>CoinIn</t>
        </is>
      </c>
      <c r="C81" s="2" t="inlineStr">
        <is>
          <t>App Store US</t>
        </is>
      </c>
      <c r="D81" s="2" t="inlineStr">
        <is>
          <t>Premium Access Weekly</t>
        </is>
      </c>
      <c r="E81" s="8" t="n"/>
      <c r="F81" s="9" t="n">
        <v>17.99</v>
      </c>
      <c r="G81" s="2" t="inlineStr">
        <is>
          <t>USD</t>
        </is>
      </c>
      <c r="H81" s="10">
        <f>IF(E81="","",1-F81/E81)</f>
        <v/>
      </c>
      <c r="I81" s="2" t="inlineStr"/>
      <c r="J81" s="2" t="inlineStr">
        <is>
          <t>https://apps.apple.com/us/app/coinin-coin-scan-identifier/id1672111368</t>
        </is>
      </c>
    </row>
    <row r="82">
      <c r="A82" s="2" t="inlineStr">
        <is>
          <t>scanner / authenticator</t>
        </is>
      </c>
      <c r="B82" s="2" t="inlineStr">
        <is>
          <t>CoinIn</t>
        </is>
      </c>
      <c r="C82" s="2" t="inlineStr">
        <is>
          <t>App Store US</t>
        </is>
      </c>
      <c r="D82" s="2" t="inlineStr">
        <is>
          <t>Premium Access</t>
        </is>
      </c>
      <c r="E82" s="8" t="n"/>
      <c r="F82" s="9" t="n">
        <v>6.99</v>
      </c>
      <c r="G82" s="2" t="inlineStr">
        <is>
          <t>USD</t>
        </is>
      </c>
      <c r="H82" s="10">
        <f>IF(E82="","",1-F82/E82)</f>
        <v/>
      </c>
      <c r="I82" s="2" t="inlineStr"/>
      <c r="J82" s="2" t="inlineStr">
        <is>
          <t>https://apps.apple.com/us/app/coinin-coin-scan-identifier/id1672111368</t>
        </is>
      </c>
    </row>
    <row r="83">
      <c r="A83" s="2" t="inlineStr">
        <is>
          <t>scanner / authenticator</t>
        </is>
      </c>
      <c r="B83" s="2" t="inlineStr">
        <is>
          <t>CoinIn</t>
        </is>
      </c>
      <c r="C83" s="2" t="inlineStr">
        <is>
          <t>App Store US</t>
        </is>
      </c>
      <c r="D83" s="2" t="inlineStr">
        <is>
          <t>Premium Access</t>
        </is>
      </c>
      <c r="E83" s="8" t="n"/>
      <c r="F83" s="9" t="n">
        <v>7.99</v>
      </c>
      <c r="G83" s="2" t="inlineStr">
        <is>
          <t>USD</t>
        </is>
      </c>
      <c r="H83" s="10">
        <f>IF(E83="","",1-F83/E83)</f>
        <v/>
      </c>
      <c r="I83" s="2" t="inlineStr"/>
      <c r="J83" s="2" t="inlineStr">
        <is>
          <t>https://apps.apple.com/us/app/coinin-coin-scan-identifier/id1672111368</t>
        </is>
      </c>
    </row>
    <row r="84">
      <c r="A84" s="2" t="inlineStr">
        <is>
          <t>scanner / authenticator</t>
        </is>
      </c>
      <c r="B84" s="2" t="inlineStr">
        <is>
          <t>CoinIn</t>
        </is>
      </c>
      <c r="C84" s="2" t="inlineStr">
        <is>
          <t>App Store US</t>
        </is>
      </c>
      <c r="D84" s="2" t="inlineStr">
        <is>
          <t>Premium Access</t>
        </is>
      </c>
      <c r="E84" s="8" t="n"/>
      <c r="F84" s="9" t="n">
        <v>9.99</v>
      </c>
      <c r="G84" s="2" t="inlineStr">
        <is>
          <t>USD</t>
        </is>
      </c>
      <c r="H84" s="10">
        <f>IF(E84="","",1-F84/E84)</f>
        <v/>
      </c>
      <c r="I84" s="2" t="inlineStr"/>
      <c r="J84" s="2" t="inlineStr">
        <is>
          <t>https://apps.apple.com/us/app/coinin-coin-scan-identifier/id1672111368</t>
        </is>
      </c>
    </row>
    <row r="85">
      <c r="A85" s="2" t="inlineStr">
        <is>
          <t>scanner / authenticator</t>
        </is>
      </c>
      <c r="B85" s="2" t="inlineStr">
        <is>
          <t>CoinIn</t>
        </is>
      </c>
      <c r="C85" s="2" t="inlineStr">
        <is>
          <t>App Store US</t>
        </is>
      </c>
      <c r="D85" s="2" t="inlineStr">
        <is>
          <t>Premium access</t>
        </is>
      </c>
      <c r="E85" s="8" t="n"/>
      <c r="F85" s="9" t="n">
        <v>12.99</v>
      </c>
      <c r="G85" s="2" t="inlineStr">
        <is>
          <t>USD</t>
        </is>
      </c>
      <c r="H85" s="10">
        <f>IF(E85="","",1-F85/E85)</f>
        <v/>
      </c>
      <c r="I85" s="2" t="inlineStr"/>
      <c r="J85" s="2" t="inlineStr">
        <is>
          <t>https://apps.apple.com/us/app/coinin-coin-scan-identifier/id1672111368</t>
        </is>
      </c>
    </row>
    <row r="86">
      <c r="A86" s="2" t="inlineStr">
        <is>
          <t>scanner / authenticator</t>
        </is>
      </c>
      <c r="B86" s="2" t="inlineStr">
        <is>
          <t>CoinIn</t>
        </is>
      </c>
      <c r="C86" s="2" t="inlineStr">
        <is>
          <t>App Store US</t>
        </is>
      </c>
      <c r="D86" s="2" t="inlineStr">
        <is>
          <t>Premium Access 2</t>
        </is>
      </c>
      <c r="E86" s="8" t="n"/>
      <c r="F86" s="9" t="n">
        <v>14.99</v>
      </c>
      <c r="G86" s="2" t="inlineStr">
        <is>
          <t>USD</t>
        </is>
      </c>
      <c r="H86" s="10">
        <f>IF(E86="","",1-F86/E86)</f>
        <v/>
      </c>
      <c r="I86" s="2" t="inlineStr"/>
      <c r="J86" s="2" t="inlineStr">
        <is>
          <t>https://apps.apple.com/us/app/coinin-coin-scan-identifier/id1672111368</t>
        </is>
      </c>
    </row>
    <row r="87">
      <c r="A87" s="2" t="inlineStr">
        <is>
          <t>scanner / authenticator</t>
        </is>
      </c>
      <c r="B87" s="2" t="inlineStr">
        <is>
          <t>CoinIn</t>
        </is>
      </c>
      <c r="C87" s="2" t="inlineStr">
        <is>
          <t>App Store US</t>
        </is>
      </c>
      <c r="D87" s="2" t="inlineStr">
        <is>
          <t>Premium Pro Access</t>
        </is>
      </c>
      <c r="E87" s="8" t="n"/>
      <c r="F87" s="9" t="n">
        <v>15.99</v>
      </c>
      <c r="G87" s="2" t="inlineStr">
        <is>
          <t>USD</t>
        </is>
      </c>
      <c r="H87" s="10">
        <f>IF(E87="","",1-F87/E87)</f>
        <v/>
      </c>
      <c r="I87" s="2" t="inlineStr"/>
      <c r="J87" s="2" t="inlineStr">
        <is>
          <t>https://apps.apple.com/us/app/coinin-coin-scan-identifier/id1672111368</t>
        </is>
      </c>
    </row>
    <row r="88">
      <c r="A88" s="2" t="inlineStr">
        <is>
          <t>scanner / authenticator</t>
        </is>
      </c>
      <c r="B88" s="2" t="inlineStr">
        <is>
          <t>CoinIn</t>
        </is>
      </c>
      <c r="C88" s="2" t="inlineStr">
        <is>
          <t>App Store US</t>
        </is>
      </c>
      <c r="D88" s="2" t="inlineStr">
        <is>
          <t>Premium Access</t>
        </is>
      </c>
      <c r="E88" s="8" t="n"/>
      <c r="F88" s="9" t="n">
        <v>49.99</v>
      </c>
      <c r="G88" s="2" t="inlineStr">
        <is>
          <t>USD</t>
        </is>
      </c>
      <c r="H88" s="10">
        <f>IF(E88="","",1-F88/E88)</f>
        <v/>
      </c>
      <c r="I88" s="2" t="inlineStr"/>
      <c r="J88" s="2" t="inlineStr">
        <is>
          <t>https://apps.apple.com/us/app/coinin-coin-scan-identifier/id1672111368</t>
        </is>
      </c>
    </row>
    <row r="89">
      <c r="A89" s="2" t="inlineStr">
        <is>
          <t>scanner / authenticator</t>
        </is>
      </c>
      <c r="B89" s="2" t="inlineStr">
        <is>
          <t>CoinSnap</t>
        </is>
      </c>
      <c r="C89" s="2" t="inlineStr">
        <is>
          <t>App Store US</t>
        </is>
      </c>
      <c r="D89" s="2" t="inlineStr">
        <is>
          <t>Premium</t>
        </is>
      </c>
      <c r="E89" s="8" t="n"/>
      <c r="F89" s="9" t="n">
        <v>3.99</v>
      </c>
      <c r="G89" s="2" t="inlineStr">
        <is>
          <t>USD</t>
        </is>
      </c>
      <c r="H89" s="10">
        <f>IF(E89="","",1-F89/E89)</f>
        <v/>
      </c>
      <c r="I89" s="2" t="inlineStr">
        <is>
          <t>$39.99 xuất hiện nhiều lần (nhiều khả năng là gói năm)</t>
        </is>
      </c>
      <c r="J89" s="2" t="inlineStr">
        <is>
          <t>https://apps.apple.com/us/app/coinsnap-coin-identifier/id1634551626</t>
        </is>
      </c>
    </row>
    <row r="90">
      <c r="A90" s="2" t="inlineStr">
        <is>
          <t>scanner / authenticator</t>
        </is>
      </c>
      <c r="B90" s="2" t="inlineStr">
        <is>
          <t>CoinSnap</t>
        </is>
      </c>
      <c r="C90" s="2" t="inlineStr">
        <is>
          <t>App Store US</t>
        </is>
      </c>
      <c r="D90" s="2" t="inlineStr">
        <is>
          <t>Premium</t>
        </is>
      </c>
      <c r="E90" s="8" t="n"/>
      <c r="F90" s="9" t="n">
        <v>6.99</v>
      </c>
      <c r="G90" s="2" t="inlineStr">
        <is>
          <t>USD</t>
        </is>
      </c>
      <c r="H90" s="10">
        <f>IF(E90="","",1-F90/E90)</f>
        <v/>
      </c>
      <c r="I90" s="2" t="inlineStr">
        <is>
          <t>$39.99 xuất hiện nhiều lần (nhiều khả năng là gói năm)</t>
        </is>
      </c>
      <c r="J90" s="2" t="inlineStr">
        <is>
          <t>https://apps.apple.com/us/app/coinsnap-coin-identifier/id1634551626</t>
        </is>
      </c>
    </row>
    <row r="91">
      <c r="A91" s="2" t="inlineStr">
        <is>
          <t>scanner / authenticator</t>
        </is>
      </c>
      <c r="B91" s="2" t="inlineStr">
        <is>
          <t>CoinSnap</t>
        </is>
      </c>
      <c r="C91" s="2" t="inlineStr">
        <is>
          <t>App Store US</t>
        </is>
      </c>
      <c r="D91" s="2" t="inlineStr">
        <is>
          <t>Premium</t>
        </is>
      </c>
      <c r="E91" s="8" t="n"/>
      <c r="F91" s="9" t="n">
        <v>7.99</v>
      </c>
      <c r="G91" s="2" t="inlineStr">
        <is>
          <t>USD</t>
        </is>
      </c>
      <c r="H91" s="10">
        <f>IF(E91="","",1-F91/E91)</f>
        <v/>
      </c>
      <c r="I91" s="2" t="inlineStr">
        <is>
          <t>$39.99 xuất hiện nhiều lần (nhiều khả năng là gói năm)</t>
        </is>
      </c>
      <c r="J91" s="2" t="inlineStr">
        <is>
          <t>https://apps.apple.com/us/app/coinsnap-coin-identifier/id1634551626</t>
        </is>
      </c>
    </row>
    <row r="92">
      <c r="A92" s="2" t="inlineStr">
        <is>
          <t>scanner / authenticator</t>
        </is>
      </c>
      <c r="B92" s="2" t="inlineStr">
        <is>
          <t>CoinSnap</t>
        </is>
      </c>
      <c r="C92" s="2" t="inlineStr">
        <is>
          <t>App Store US</t>
        </is>
      </c>
      <c r="D92" s="2" t="inlineStr">
        <is>
          <t>Premium</t>
        </is>
      </c>
      <c r="E92" s="8" t="n"/>
      <c r="F92" s="9" t="n">
        <v>9.99</v>
      </c>
      <c r="G92" s="2" t="inlineStr">
        <is>
          <t>USD</t>
        </is>
      </c>
      <c r="H92" s="10">
        <f>IF(E92="","",1-F92/E92)</f>
        <v/>
      </c>
      <c r="I92" s="2" t="inlineStr">
        <is>
          <t>$39.99 xuất hiện nhiều lần (nhiều khả năng là gói năm)</t>
        </is>
      </c>
      <c r="J92" s="2" t="inlineStr">
        <is>
          <t>https://apps.apple.com/us/app/coinsnap-coin-identifier/id1634551626</t>
        </is>
      </c>
    </row>
    <row r="93">
      <c r="A93" s="2" t="inlineStr">
        <is>
          <t>scanner / authenticator</t>
        </is>
      </c>
      <c r="B93" s="2" t="inlineStr">
        <is>
          <t>CoinSnap</t>
        </is>
      </c>
      <c r="C93" s="2" t="inlineStr">
        <is>
          <t>App Store US</t>
        </is>
      </c>
      <c r="D93" s="2" t="inlineStr">
        <is>
          <t>Premium / Plus</t>
        </is>
      </c>
      <c r="E93" s="8" t="n"/>
      <c r="F93" s="9" t="n">
        <v>39.99</v>
      </c>
      <c r="G93" s="2" t="inlineStr">
        <is>
          <t>USD</t>
        </is>
      </c>
      <c r="H93" s="10">
        <f>IF(E93="","",1-F93/E93)</f>
        <v/>
      </c>
      <c r="I93" s="2" t="inlineStr">
        <is>
          <t>$39.99 xuất hiện nhiều lần (nhiều khả năng là gói năm)</t>
        </is>
      </c>
      <c r="J93" s="2" t="inlineStr">
        <is>
          <t>https://apps.apple.com/us/app/coinsnap-coin-identifier/id1634551626</t>
        </is>
      </c>
    </row>
    <row r="95">
      <c r="A95" s="7" t="inlineStr">
        <is>
          <t>App Store: danh sách "In-App Purchases" (tối đa 10 mục Apple hiển thị) trên trang US, lấy 30/09/2026 — không ghi chu kỳ cho mọi gói. Web funnel: màn paywall trong AdSpyLab Funnels Library.</t>
        </is>
      </c>
    </row>
  </sheetData>
  <autoFilter ref="A1:J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60" customWidth="1" min="5" max="5"/>
  </cols>
  <sheetData>
    <row r="1">
      <c r="A1" s="1" t="inlineStr">
        <is>
          <t>Chỉ số</t>
        </is>
      </c>
      <c r="B1" s="1" t="inlineStr">
        <is>
          <t>Dòng / phạm vi</t>
        </is>
      </c>
      <c r="C1" s="1" t="inlineStr">
        <is>
          <t>Giá trị</t>
        </is>
      </c>
      <c r="D1" s="1" t="inlineStr">
        <is>
          <t>Ghi chú</t>
        </is>
      </c>
      <c r="E1" s="1" t="inlineStr">
        <is>
          <t>Nguồn</t>
        </is>
      </c>
    </row>
    <row r="2">
      <c r="A2" s="2" t="inlineStr">
        <is>
          <t>CPI iOS (Q1/2026)</t>
        </is>
      </c>
      <c r="B2" s="2" t="inlineStr">
        <is>
          <t>Photo &amp; Video</t>
        </is>
      </c>
      <c r="C2" s="2" t="inlineStr">
        <is>
          <t>$3.04</t>
        </is>
      </c>
      <c r="D2" s="2" t="inlineStr"/>
      <c r="E2" s="2" t="inlineStr">
        <is>
          <t>https://admiral.media/mobile-app-marketing-benchmarks-2026/</t>
        </is>
      </c>
    </row>
    <row r="3">
      <c r="A3" s="2" t="inlineStr">
        <is>
          <t>CPI iOS (Q1/2026)</t>
        </is>
      </c>
      <c r="B3" s="2" t="inlineStr">
        <is>
          <t>Education</t>
        </is>
      </c>
      <c r="C3" s="2" t="inlineStr">
        <is>
          <t>$6.84</t>
        </is>
      </c>
      <c r="D3" s="2" t="inlineStr"/>
      <c r="E3" s="2" t="inlineStr">
        <is>
          <t>https://admiral.media/mobile-app-marketing-benchmarks-2026/</t>
        </is>
      </c>
    </row>
    <row r="4">
      <c r="A4" s="2" t="inlineStr">
        <is>
          <t>CPI Android (Q1/2026)</t>
        </is>
      </c>
      <c r="B4" s="2" t="inlineStr">
        <is>
          <t>Photo &amp; Video</t>
        </is>
      </c>
      <c r="C4" s="2" t="inlineStr">
        <is>
          <t>$0.98</t>
        </is>
      </c>
      <c r="D4" s="2" t="inlineStr"/>
      <c r="E4" s="2" t="inlineStr">
        <is>
          <t>https://admiral.media/mobile-app-marketing-benchmarks-2026/</t>
        </is>
      </c>
    </row>
    <row r="5">
      <c r="A5" s="2" t="inlineStr">
        <is>
          <t>CPI Android (Q1/2026)</t>
        </is>
      </c>
      <c r="B5" s="2" t="inlineStr">
        <is>
          <t>Education</t>
        </is>
      </c>
      <c r="C5" s="2" t="inlineStr">
        <is>
          <t>$2.18</t>
        </is>
      </c>
      <c r="D5" s="2" t="inlineStr"/>
      <c r="E5" s="2" t="inlineStr">
        <is>
          <t>https://admiral.media/mobile-app-marketing-benchmarks-2026/</t>
        </is>
      </c>
    </row>
    <row r="6">
      <c r="A6" s="2" t="inlineStr">
        <is>
          <t>CPI iOS trung bình (Q1/2026)</t>
        </is>
      </c>
      <c r="B6" s="2" t="inlineStr">
        <is>
          <t>Toàn cầu</t>
        </is>
      </c>
      <c r="C6" s="2" t="inlineStr">
        <is>
          <t>$5.84</t>
        </is>
      </c>
      <c r="D6" s="2" t="inlineStr"/>
      <c r="E6" s="2" t="inlineStr">
        <is>
          <t>https://admiral.media/mobile-app-marketing-benchmarks-2026/</t>
        </is>
      </c>
    </row>
    <row r="7">
      <c r="A7" s="2" t="inlineStr">
        <is>
          <t>Cost per trial (Apple Ads)</t>
        </is>
      </c>
      <c r="B7" s="2" t="inlineStr">
        <is>
          <t>Video Editor</t>
        </is>
      </c>
      <c r="C7" s="2" t="inlineStr">
        <is>
          <t>$1.32</t>
        </is>
      </c>
      <c r="D7" s="2" t="inlineStr">
        <is>
          <t>Chỉ Apple Search Ads</t>
        </is>
      </c>
      <c r="E7" s="2" t="inlineStr">
        <is>
          <t>https://adapty.io/blog/apple-ads-benchmarks-2026/</t>
        </is>
      </c>
    </row>
    <row r="8">
      <c r="A8" s="2" t="inlineStr">
        <is>
          <t>Cost per trial (Apple Ads)</t>
        </is>
      </c>
      <c r="B8" s="2" t="inlineStr">
        <is>
          <t>AI Chatbot</t>
        </is>
      </c>
      <c r="C8" s="2" t="inlineStr">
        <is>
          <t>$1.28</t>
        </is>
      </c>
      <c r="D8" s="2" t="inlineStr">
        <is>
          <t>Chỉ Apple Search Ads</t>
        </is>
      </c>
      <c r="E8" s="2" t="inlineStr">
        <is>
          <t>https://adapty.io/blog/apple-ads-benchmarks-2026/</t>
        </is>
      </c>
    </row>
    <row r="9">
      <c r="A9" s="2" t="inlineStr">
        <is>
          <t>Cost per trial (Apple Ads)</t>
        </is>
      </c>
      <c r="B9" s="2" t="inlineStr">
        <is>
          <t>Education</t>
        </is>
      </c>
      <c r="C9" s="2" t="inlineStr">
        <is>
          <t>$1.42–$3.45</t>
        </is>
      </c>
      <c r="D9" s="2" t="inlineStr">
        <is>
          <t>Tùy ngách</t>
        </is>
      </c>
      <c r="E9" s="2" t="inlineStr">
        <is>
          <t>https://adapty.io/blog/apple-ads-benchmarks-2026/</t>
        </is>
      </c>
    </row>
    <row r="10">
      <c r="A10" s="2" t="inlineStr">
        <is>
          <t>Install → trial</t>
        </is>
      </c>
      <c r="B10" s="2" t="inlineStr">
        <is>
          <t>App subscription khỏe</t>
        </is>
      </c>
      <c r="C10" s="2" t="inlineStr">
        <is>
          <t>15–30%</t>
        </is>
      </c>
      <c r="D10" s="2" t="inlineStr"/>
      <c r="E10" s="2" t="inlineStr">
        <is>
          <t>https://admiral.media/mobile-app-marketing-benchmarks-2026/</t>
        </is>
      </c>
    </row>
    <row r="11">
      <c r="A11" s="2" t="inlineStr">
        <is>
          <t>Trial → trả tiền</t>
        </is>
      </c>
      <c r="B11" s="2" t="inlineStr">
        <is>
          <t>App subscription khỏe</t>
        </is>
      </c>
      <c r="C11" s="2" t="inlineStr">
        <is>
          <t>40–65%</t>
        </is>
      </c>
      <c r="D11" s="2" t="inlineStr"/>
      <c r="E11" s="2" t="inlineStr">
        <is>
          <t>https://admiral.media/mobile-app-marketing-benchmarks-2026/</t>
        </is>
      </c>
    </row>
    <row r="12">
      <c r="A12" s="2" t="inlineStr">
        <is>
          <t>ROAS D30</t>
        </is>
      </c>
      <c r="B12" s="2" t="inlineStr">
        <is>
          <t>App subscription khỏe</t>
        </is>
      </c>
      <c r="C12" s="2" t="inlineStr">
        <is>
          <t>40–70%</t>
        </is>
      </c>
      <c r="D12" s="2" t="inlineStr"/>
      <c r="E12" s="2" t="inlineStr">
        <is>
          <t>https://admiral.media/mobile-app-marketing-benchmarks-2026/</t>
        </is>
      </c>
    </row>
    <row r="13">
      <c r="A13" s="2" t="inlineStr">
        <is>
          <t>LTV 12 tháng trung bình</t>
        </is>
      </c>
      <c r="B13" s="2" t="inlineStr">
        <is>
          <t>Education</t>
        </is>
      </c>
      <c r="C13" s="2" t="inlineStr">
        <is>
          <t>$45.10</t>
        </is>
      </c>
      <c r="D13" s="2" t="inlineStr"/>
      <c r="E13" s="2" t="inlineStr">
        <is>
          <t>https://adapty.io/state-of-in-app-subscriptions-report/</t>
        </is>
      </c>
    </row>
    <row r="15">
      <c r="A15" s="7" t="inlineStr">
        <is>
          <t>ROAS/CPA thật của từng đối thủ không công khai. Đây là benchmark thị trường, lấy từ tóm tắt kết quả tìm kiếm — chưa đối chiếu từng số với báo cáo gốc.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2026-09-30T08:47:12Z</dcterms:created>
  <dcterms:modified xmlns:dcterms="http://purl.org/dc/terms/" xmlns:xsi="http://www.w3.org/2001/XMLSchema-instance" xsi:type="dcterms:W3CDTF">2026-09-30T08:47:12Z</dcterms:modified>
</cp:coreProperties>
</file>